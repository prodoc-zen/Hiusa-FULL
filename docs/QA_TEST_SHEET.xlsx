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w to use" state="visible" r:id="rId4"/>
    <sheet sheetId="2" name="Summary" state="visible" r:id="rId5"/>
    <sheet sheetId="3" name="SAO" state="visible" r:id="rId6"/>
    <sheet sheetId="4" name="Department Head" state="visible" r:id="rId7"/>
    <sheet sheetId="5" name="Admin &amp; Adviser" state="visible" r:id="rId8"/>
    <sheet sheetId="6" name="SBO Officer" state="visible" r:id="rId9"/>
    <sheet sheetId="7" name="Student" state="visible" r:id="rId10"/>
    <sheet sheetId="8" name="General" state="visible" r:id="rId11"/>
  </sheets>
  <definedNames>
    <definedName name="_xlnm.Print_Titles" localSheetId="2">'SAO'!$1:$1</definedName>
    <definedName name="_xlnm.Print_Titles" localSheetId="3">'Department Head'!$1:$1</definedName>
    <definedName name="_xlnm.Print_Titles" localSheetId="4">'Admin &amp; Adviser'!$1:$1</definedName>
    <definedName name="_xlnm.Print_Titles" localSheetId="5">'SBO Officer'!$1:$1</definedName>
    <definedName name="_xlnm.Print_Titles" localSheetId="6">'Student'!$1:$1</definedName>
    <definedName name="_xlnm.Print_Titles" localSheetId="7">'General'!$1:$1</definedName>
  </definedNames>
  <calcPr calcId="171027" fullCalcOnLoad="1"/>
</workbook>
</file>

<file path=xl/sharedStrings.xml><?xml version="1.0" encoding="utf-8"?>
<sst xmlns="http://schemas.openxmlformats.org/spreadsheetml/2006/main" count="8951" uniqueCount="4041">
  <si>
    <t>HIUSA QA test sheet</t>
  </si>
  <si>
    <t>What this is for</t>
  </si>
  <si>
    <t>1. Each tab (SAO, Department Head, Admin &amp; Adviser, SBO Officer, Student, General) lists test cases for one role.</t>
  </si>
  <si>
    <t>2. Sign in with the account for that role, follow the Steps column, and compare what happens with the Expected result.</t>
  </si>
  <si>
    <t>3. Set the Status for every case you run. Fill Tester, Date tested, and the device and browser you used.</t>
  </si>
  <si>
    <t>4. If a case fails, set Severity, describe what you saw in Actual result / notes, and paste a screenshot link.</t>
  </si>
  <si>
    <t>5. The Summary tab counts your entries by itself. Do not type in it.</t>
  </si>
  <si>
    <t>Test link</t>
  </si>
  <si>
    <t>Ask the host for the current link; it changes if the host restarts it.</t>
  </si>
  <si>
    <t>Test accounts</t>
  </si>
  <si>
    <t>Role</t>
  </si>
  <si>
    <t>School ID</t>
  </si>
  <si>
    <t>Notes</t>
  </si>
  <si>
    <t>SAO</t>
  </si>
  <si>
    <t>990001</t>
  </si>
  <si>
    <t>The only SAO account on the test copy. Runs the university side.</t>
  </si>
  <si>
    <t>Department Head</t>
  </si>
  <si>
    <t>940001 to 940009</t>
  </si>
  <si>
    <t>940001 College of Computer Studies, 940002 Business Education, 940003 Teacher Education, 940004 Health Sciences, 940005 Engineering, 940006 Criminal Justice Education, 940007 Hospitality, Tourism and Customs Administration, 940008 Maritime Education, 940009 Nursing. One head per college; pick the college you were assigned.</t>
  </si>
  <si>
    <t>Admin (Organization Admin)</t>
  </si>
  <si>
    <t>900001 to 900003, 920011</t>
  </si>
  <si>
    <t>900001 President, 900002 Vice President Internal, 900003 Secretary (all PSITS-CCS). 920011 is the President of JPIA-CBE.</t>
  </si>
  <si>
    <t>Adviser</t>
  </si>
  <si>
    <t>990002, 990012, 990022, 990032, 990042</t>
  </si>
  <si>
    <t>An Admin assigned by the SAO. 990002 PSITS-CCS, 990012 JPIA-CBE, 990022 FES-CTE, 990032 NSC-CHS, 990042 EIG-COE. Same menu as an Admin.</t>
  </si>
  <si>
    <t>SBO Officer</t>
  </si>
  <si>
    <t>900004 to 900007</t>
  </si>
  <si>
    <t>900004 Treasurer, 900005 Auditor, 900006 Public Information Officer, 900007 Business Manager (all PSITS-CCS).</t>
  </si>
  <si>
    <t>Student</t>
  </si>
  <si>
    <t>2100142</t>
  </si>
  <si>
    <t>PSITS-CCS. Also 2100217, 2100389, 2200055, 2200134, 2200298, 2200451, 2300078, 2300163, 2300247, 2300312, 2400019, 2400067, 2400093. 2400118 belongs to FES-CTE and 2400133 to EIG-COE.</t>
  </si>
  <si>
    <t>Passwords: ask the host. Never share one account between two testers, because 5 wrong passwords lock it for 15 minutes.</t>
  </si>
  <si>
    <t>Status legend</t>
  </si>
  <si>
    <t>Not run</t>
  </si>
  <si>
    <t>Not tried yet. This is the starting value.</t>
  </si>
  <si>
    <t>Pass</t>
  </si>
  <si>
    <t>You ran every step and the result matched the Expected result.</t>
  </si>
  <si>
    <t>Fail</t>
  </si>
  <si>
    <t>You ran the steps and the result did not match. Set a Severity and describe it.</t>
  </si>
  <si>
    <t>Blocked</t>
  </si>
  <si>
    <t>You could not run it because something earlier is broken or missing (say what in the notes).</t>
  </si>
  <si>
    <t>N/A</t>
  </si>
  <si>
    <t>The case does not apply to you, for example a phone-only case on a laptop.</t>
  </si>
  <si>
    <t>How to report a bug</t>
  </si>
  <si>
    <t>Write these in the row of the failed case (Actual result / notes), or send them to the host:</t>
  </si>
  <si>
    <t>1. Role and page (for example "Student, Store, Shop").</t>
  </si>
  <si>
    <t>2. What you did, step by step.</t>
  </si>
  <si>
    <t>3. What you expected.</t>
  </si>
  <si>
    <t>4. What actually happened, with the exact message if there was one.</t>
  </si>
  <si>
    <t>5. A screenshot, linked in the Bug screenshot link column.</t>
  </si>
  <si>
    <t>6. Whether you used a phone or a laptop, and which browser.</t>
  </si>
  <si>
    <t>Severity: Critical = cannot continue or data is wrong or lost; Major = a feature does not work; Minor = works but is awkward or has a workaround; Cosmetic = looks wrong only.</t>
  </si>
  <si>
    <t>Run order</t>
  </si>
  <si>
    <t>Before anyone tests the Department Head registration cases, the SAO must set up a semester: sign in as the SAO (990001), open Academic years under Setup and records, add a semester that covers the whole test period, then choose Set as active on it. Adding it is not enough; it starts as upcoming. See docs/MEMBER_TESTING.md sections 3 and 4.</t>
  </si>
  <si>
    <t>Opening a semester hides the seeded events, tasks and election (they belong to no semester). So run the cases that use them first, then activate the semester and run the rest.</t>
  </si>
  <si>
    <t>Rounds, author notes and Blocked</t>
  </si>
  <si>
    <t>Round 1 / Round 2: Round 1 cases use the sample data that exists before the SAO opens a semester; the SAO activating a semester hides it. Do Round 1 first, then the SAO activates a semester, then Round 2. Cases marked Any time can run in either round.</t>
  </si>
  <si>
    <t>Filter the Round column (the arrow in its header) to show one round at a time. The Depends on column names the case that must pass first.</t>
  </si>
  <si>
    <t>Author note (unconfirmed): this column holds a guess the test writer was not sure about. Judge Pass or Fail on the Expected result only. If the unconfirmed note is wrong but the system behaves sensibly, mark Pass and write the real wording in the notes. If the behaviour itself is wrong, mark Fail.</t>
  </si>
  <si>
    <t>Blocked means you could not run the case because something it depends on failed or does not exist (write what in the notes). Cases that wait for a scheduled job run by the host and show nothing after waiting 3 minutes should be marked Blocked, with a note saying so.</t>
  </si>
  <si>
    <t>Summary (fills in by itself from the role tabs)</t>
  </si>
  <si>
    <t>Total</t>
  </si>
  <si>
    <t>Pass rate</t>
  </si>
  <si>
    <t>Progress</t>
  </si>
  <si>
    <t>Critical bugs</t>
  </si>
  <si>
    <t>Major bugs</t>
  </si>
  <si>
    <t>Minor bugs</t>
  </si>
  <si>
    <t>Cosmetic bugs</t>
  </si>
  <si>
    <t>Admin &amp; Adviser</t>
  </si>
  <si>
    <t>General</t>
  </si>
  <si>
    <t>All roles</t>
  </si>
  <si>
    <t>Total = number of test cases on the tab. Not run = Total minus Pass, Fail, Blocked and N/A.</t>
  </si>
  <si>
    <t>Pass rate = Pass / (Pass + Fail). It only counts cases that were actually run to a result; Not run, Blocked and N/A are left out.</t>
  </si>
  <si>
    <t>Progress = (Total - Not run) / Total. It counts every case that has any status other than Not run.</t>
  </si>
  <si>
    <t>Bug columns count cases with Status = Fail and the matching Severity. A Fail with no Severity is in Fail but in none of the bug columns.</t>
  </si>
  <si>
    <t>Formulas read rows 2 to 2000 of each tab, so cases added below the last row are counted.</t>
  </si>
  <si>
    <t>By round</t>
  </si>
  <si>
    <t>Round</t>
  </si>
  <si>
    <t>Round 1 (before the SAO opens a semester)</t>
  </si>
  <si>
    <t>Round 2 (after the SAO activates a semester)</t>
  </si>
  <si>
    <t>Any time</t>
  </si>
  <si>
    <t>Counts cases by the Round column on each role tab. Cases with no round set count under Any time.</t>
  </si>
  <si>
    <t>ID</t>
  </si>
  <si>
    <t>Module</t>
  </si>
  <si>
    <t>Test case</t>
  </si>
  <si>
    <t>Type</t>
  </si>
  <si>
    <t>Priority</t>
  </si>
  <si>
    <t>Device</t>
  </si>
  <si>
    <t>Depends on</t>
  </si>
  <si>
    <t>Preconditions</t>
  </si>
  <si>
    <t>Steps</t>
  </si>
  <si>
    <t>Expected result</t>
  </si>
  <si>
    <t>Author note (unconfirmed)</t>
  </si>
  <si>
    <t>Status</t>
  </si>
  <si>
    <t>Severity</t>
  </si>
  <si>
    <t>Tester</t>
  </si>
  <si>
    <t>Date tested</t>
  </si>
  <si>
    <t>Device and browser used</t>
  </si>
  <si>
    <t>Actual result / notes</t>
  </si>
  <si>
    <t>Bug screenshot link</t>
  </si>
  <si>
    <t>SAO-001</t>
  </si>
  <si>
    <t>Sign in and menu</t>
  </si>
  <si>
    <t>SAO signs in and reaches the SAO Dashboard</t>
  </si>
  <si>
    <t>Functional</t>
  </si>
  <si>
    <t>High</t>
  </si>
  <si>
    <t>Any</t>
  </si>
  <si>
    <t>SAO account 990001 exists. The SAO password is given to you separately. You are signed out.</t>
  </si>
  <si>
    <t xml:space="preserve">1. Open the HIUSA sign in page.
2. Type 990001 in School ID.
3. Type the SAO password in Password.
4. Select Sign in.
5. Look at the page that opens and at the left menu.</t>
  </si>
  <si>
    <t>You land on the SAO Dashboard (the address ends with /dashboard/super-admin). The left menu shows Dashboard, then the groups Organizations, Reviews, Updates and Setup and records, and Profile and Study objectives at the bottom.</t>
  </si>
  <si>
    <t>VERIFY: if a Change password screen appears first, set a new password and tell the demo owner, then continue.</t>
  </si>
  <si>
    <t>SAO-002</t>
  </si>
  <si>
    <t>Sign in with a wrong password is refused</t>
  </si>
  <si>
    <t>Negative</t>
  </si>
  <si>
    <t>Medium</t>
  </si>
  <si>
    <t>SAO account 990001 exists. You are signed out.</t>
  </si>
  <si>
    <t xml:space="preserve">1. Open the HIUSA sign in page.
2. Type 990001 in School ID.
3. Type a wrong password in Password.
4. Select Sign in.
5. Read the message on the screen.</t>
  </si>
  <si>
    <t>You stay on the sign in page and a red message says the sign in failed. No Dashboard opens. Do this only once or twice: five wrong passwords lock the account for 15 minutes for everyone who shares it.</t>
  </si>
  <si>
    <t>VERIFY: the exact wording of the message.</t>
  </si>
  <si>
    <t>SAO-003</t>
  </si>
  <si>
    <t>The SAO menu shows the right groups and pages and nothing from other roles</t>
  </si>
  <si>
    <t>Usability</t>
  </si>
  <si>
    <t>Laptop</t>
  </si>
  <si>
    <t>Signed in as SAO 990001.</t>
  </si>
  <si>
    <t xml:space="preserve">1. Look at the left menu from top to bottom.
2. Select the group name Organizations and read the items under it.
3. Select the group name Reviews and read the items under it.
4. Select the group name Updates and read the items under it.
5. Select the group name Setup and records and read the items under it.
6. Look for any menu item named Approvals, Finance, Events, Voting or Store.</t>
  </si>
  <si>
    <t>The menu reads: Dashboard; Organizations (Agency overview, Registrations and organizations, Administrators, Colleges); Reviews (Compliance, Venues, Grievances, Clearances); Updates (University announcements, Notifications); Setup and records (Academic years, Audit trail); then Profile and Study objectives. Selecting a group opens its first page. The page you are on is highlighted. There is no Approvals, Finance, Events, Voting or Store item.</t>
  </si>
  <si>
    <t>SAO-004</t>
  </si>
  <si>
    <t>On a phone the menu opens from the Open menu button</t>
  </si>
  <si>
    <t>Phone</t>
  </si>
  <si>
    <t>Signed in as SAO 990001. Use a phone or a browser window narrower than 768 pixels.</t>
  </si>
  <si>
    <t xml:space="preserve">1. Look at the top left of the screen for the Open menu button and select it.
2. Select the group Reviews.
3. Select Grievances.
4. Read the page title.
5. Open the menu again and select Dashboard.</t>
  </si>
  <si>
    <t>The menu slides in over the page. Choosing Grievances opens the Grievances page with its title. Choosing Dashboard returns to the Dashboard. The page does not scroll sideways.</t>
  </si>
  <si>
    <t>VERIFY: the menu closes by itself after you choose a page.</t>
  </si>
  <si>
    <t>SAO-005</t>
  </si>
  <si>
    <t>Log out asks for confirmation and ends the session</t>
  </si>
  <si>
    <t xml:space="preserve">1. Select your name button at the top right (Account menu).
2. Select Logout.
3. Read the Log Out box, then select Cancel.
4. Select Account menu and Logout again.
5. Select Log Out in the box.
6. Press the browser Back button.</t>
  </si>
  <si>
    <t>The box titled Log Out says "You will need to sign in again to access your dashboard." Cancel keeps you signed in. Log Out takes you to the sign in page. Pressing Back does not show SAO data; you are asked to sign in.</t>
  </si>
  <si>
    <t>VERIFY: what Back shows.</t>
  </si>
  <si>
    <t>SAO-006</t>
  </si>
  <si>
    <t>Access control</t>
  </si>
  <si>
    <t>The SAO is sent home when it opens pages that belong to other roles</t>
  </si>
  <si>
    <t>Access</t>
  </si>
  <si>
    <t xml:space="preserve">1. Click the address bar and replace the end of the address with /dashboard/admin, then press Enter.
2. Note which page opens.
3. Replace the address end with /dashboard/department-head/approvals and press Enter.
4. Replace the address end with /dashboard/finance/budget-allocation and press Enter.
5. Replace the address end with /dashboard/events/manage-events and press Enter.</t>
  </si>
  <si>
    <t>Every time the SAO is sent back to the SAO Dashboard. No page of another role is shown and no error page appears.</t>
  </si>
  <si>
    <t>SAO-007</t>
  </si>
  <si>
    <t>Old SAO addresses forward to the Compliance tabs</t>
  </si>
  <si>
    <t>Low</t>
  </si>
  <si>
    <t xml:space="preserve">1. Replace the address end with /dashboard/super-admin/approvals and press Enter.
2. Note the page and the selected tab.
3. Replace the address end with /dashboard/super-admin/financial-reports and press Enter.
4. Replace the address end with /dashboard/super-admin/event-requirements and press Enter.
5. Note the page and the selected tab.</t>
  </si>
  <si>
    <t>The first two addresses open Reviews &gt; Compliance with the Financial reports tab selected (address ends with ?tab=financial). The third opens Compliance with the Event requirements tab selected (?tab=events).</t>
  </si>
  <si>
    <t>SAO-008</t>
  </si>
  <si>
    <t>A visitor who is not signed in cannot open SAO pages</t>
  </si>
  <si>
    <t>You are signed out (log out first if needed).</t>
  </si>
  <si>
    <t xml:space="preserve">1. Open the HIUSA address followed by /dashboard/super-admin.
2. Note which page opens.
3. Open the address followed by /dashboard/super-admin/admins.
4. Note which page opens.</t>
  </si>
  <si>
    <t>Both addresses show the sign in page. No SAO data is visible.</t>
  </si>
  <si>
    <t>SAO-009</t>
  </si>
  <si>
    <t>Admin, Department Head and Student cannot open SAO pages</t>
  </si>
  <si>
    <t>Accounts: Admin 900001, Department Head 940001, Student 2100142. Passwords are given separately.</t>
  </si>
  <si>
    <t xml:space="preserve">1. Sign in as Admin 900001.
2. Replace the address end with /dashboard/super-admin/admins and press Enter, then note the page.
3. Log out. Sign in as Department Head 940001.
4. Replace the address end with /dashboard/super-admin/organizations and press Enter, then note the page.
5. Log out. Sign in as Student 2100142.
6. Replace the address end with /dashboard/super-admin/audit-logs and press Enter, then note the page.</t>
  </si>
  <si>
    <t>Each person is sent back to their own home page (Admin dashboard, Department Head dashboard, Student dashboard). None of them sees an SAO page or SAO data.</t>
  </si>
  <si>
    <t>SAO-010</t>
  </si>
  <si>
    <t>The SAO has no way to create an organization or a college</t>
  </si>
  <si>
    <t>Signed in as SAO 990001. The server also answers "405 Method Not Allowed" to any request that tries to create one; automated tests pin that.</t>
  </si>
  <si>
    <t xml:space="preserve">1. Open Organizations &gt; Registrations and organizations and look at all four tabs for a New, Create, Add or Register button.
2. Open Organizations &gt; Agency overview and look for the same buttons.
3. Open Organizations &gt; Colleges and look for a New, Add, Create, Edit or Delete college button.
4. Count the college cards.
5. Read the buttons on one college card.</t>
  </si>
  <si>
    <t>There is no button to create an organization or a college anywhere. Organizations only offer Review, Open, Provision administrator, Restore and the actions menu (Edit organization, Add existing user, Manage user profiles, Archive organization). A college card only offers Manage, Assign Department Head, View organizations and Upload logo. A fresh seed shows 5 college cards. Department Heads register organizations.</t>
  </si>
  <si>
    <t>SAO-011</t>
  </si>
  <si>
    <t>Dashboard</t>
  </si>
  <si>
    <t>The Dashboard Review inbox lists what waits for the SAO</t>
  </si>
  <si>
    <t>Signed in as SAO 990001. At least one registration or compliance submission is waiting (a Department Head 940001 has registered an organization, see Academic years first: A semester must be active first (Setup and records &gt; Academic years, Set as active).).</t>
  </si>
  <si>
    <t xml:space="preserve">1. Open Dashboard from the menu.
2. Find the card titled Review inbox.
3. Read each line and its number.
4. Select the line Registrations awaiting review.
5. Read the page that opens.</t>
  </si>
  <si>
    <t>Review inbox lists the queues that have work, for example Registrations awaiting review, Compliance submissions awaiting review, Financial reports to approve, Event files to approve and Venue bookings awaiting review, each with a count and a link. Registrations awaiting review opens Organizations &gt; Registrations and organizations on the Pending review tab.</t>
  </si>
  <si>
    <t>VERIFY: whether a queue with zero items is hidden or shown as 0.</t>
  </si>
  <si>
    <t>SAO-012</t>
  </si>
  <si>
    <t>The University operations numbers and the Organization filter agree with the real data</t>
  </si>
  <si>
    <t xml:space="preserve">1. Open Dashboard and find the card University operations.
2. Read the five numbers: Registered organizations, Active organizations, Inactive organizations, Financial reports to review, Unread Notifications.
3. Open Organizations &gt; Agency overview and compare the Organizations and Pending reviews tiles.
4. Return to Dashboard and open the Organization filter at the top right.
5. Choose one organization from the list.
6. Read the numbers again, then choose All organizations.</t>
  </si>
  <si>
    <t>The numbers match the Agency overview. Filter options read "All organizations" and then "ACRONYM: Name" for each organization. After choosing one organization the numbers describe only that organization (Registered organizations shows 1). Choosing All organizations restores the totals.</t>
  </si>
  <si>
    <t>SAO-013</t>
  </si>
  <si>
    <t>The SAO actions panel and Recent notifications lead to the right pages</t>
  </si>
  <si>
    <t xml:space="preserve">1. On the Dashboard find the panel SAO actions.
2. Select Registrations and organizations, read the page, then go back.
3. Do the same for Administrators, Colleges and Department Heads, Compliance and financial reports, University announcements and Notifications.
4. Scroll to Recent notifications and read it.
5. Select View all.</t>
  </si>
  <si>
    <t>The six links open Registrations and organizations, Administrators, Colleges, Compliance, University announcements and Notifications. Recent notifications shows titles and messages, or the sentence "No new notifications. Organization notices will appear here when they need your attention." View all opens the Notifications page.</t>
  </si>
  <si>
    <t>SAO-014</t>
  </si>
  <si>
    <t>Organizations &gt; Agency overview</t>
  </si>
  <si>
    <t>The four tiles show totals and open the matching lists</t>
  </si>
  <si>
    <t xml:space="preserve">1. Open Organizations &gt; Agency overview.
2. Read the tiles: Pending reviews, Organizations, Colleges, Archived.
3. Select Pending reviews, read the page, go back.
4. Select Organizations, read the page, go back.
5. Select Colleges, read the page, go back.
6. Select Archived and read the page.</t>
  </si>
  <si>
    <t>Pending reviews opens Registrations and organizations on the Pending review tab. Organizations opens the Active tab. Colleges opens the Colleges page. Archived opens the Archived tab. The numbers on the tiles match the tab counts.</t>
  </si>
  <si>
    <t>SAO-015</t>
  </si>
  <si>
    <t>Colleges with work to do come first and each college summarises its organizations</t>
  </si>
  <si>
    <t>Signed in as SAO 990001. A semester must be active first (Setup and records &gt; Academic years, Set as active). Department Head 940001 has registered a new organization that is still Pending review.</t>
  </si>
  <si>
    <t xml:space="preserve">1. Open Organizations &gt; Agency overview.
2. Read the summary line of each college header.
3. Check which college is listed first.
4. Select the arrow button on a college header to close it, then open it again.
5. Find the pending organization inside its college.</t>
  </si>
  <si>
    <t>Each college header reads like "1 organization · 1 pending · 0 active · 0 returned · 0 archived" (plus "n awaiting administrator" when an approved organization has no administrator). Colleges that need review are listed first and start open; quiet colleges come later. Inside a college the pending registration sits above organizations with "Nothing waiting". The arrow button opens and closes the list.</t>
  </si>
  <si>
    <t>SAO-016</t>
  </si>
  <si>
    <t>Each organization row offers only the actions that fit its status</t>
  </si>
  <si>
    <t>Signed in as SAO 990001. One Pending, one Active organization with no administrator, and one Archived organization exist (use the registration journey to create them).</t>
  </si>
  <si>
    <t xml:space="preserve">1. Open Organizations &gt; Agency overview and find a Pending row.
2. Select Review on it, read the drawer, then close it.
3. Find an Active row with no administrator and select Provision administrator.
4. Go back and select Open on any row.
5. Find an Archived row and read its badge.</t>
  </si>
  <si>
    <t>Review appears only on Pending rows and opens the Review registration drawer. Provision administrator appears only on Active rows with no administrator and opens the Create administrator form for that organization. Open appears on every row and shows the Organization overview. The column Needs attention reads "Nothing waiting" or for example "1 approval, 2 documents". Archived rows show the badge "Archived, read only".</t>
  </si>
  <si>
    <t>SAO-017</t>
  </si>
  <si>
    <t>Organizations &gt; Registrations and organizations</t>
  </si>
  <si>
    <t>The four tabs show counts and open on the right default</t>
  </si>
  <si>
    <t xml:space="preserve">1. Open Organizations &gt; Registrations and organizations.
2. Read the four tab names and the number in brackets on each.
3. Select each tab in turn.
4. Read one card: name, code, college, status badge, members and admins.
5. Look at the address bar after each tab.</t>
  </si>
  <si>
    <t>Tabs read Pending review (n), Active (n), Returned (n) and Archived (n). The page opens on the first tab that has items in the order Pending, Returned, Active, Archived. The address shows ?status=pending, active, returned or archived. Cards are grouped under a college heading. A card shows the name, "ACRONYM · College", a status badge, and "N members · N admins". Pending cards also show "Submitted &lt;date&gt;".</t>
  </si>
  <si>
    <t>SAO-018</t>
  </si>
  <si>
    <t>Search narrows the list and each tab has its own empty message</t>
  </si>
  <si>
    <t xml:space="preserve">1. On the Active tab type PSITS in Search organizations.
2. Clear it and type the name of a college, for example Business.
3. Clear it and type zzzz.
4. Read the empty message, then clear the search.
5. Open a tab that has no items (Pending review, Returned or Archived) and read its message.</t>
  </si>
  <si>
    <t>The placeholder reads "Name, code, or college". After a short pause the list shows only matching organizations (name, code or college). Searching zzzz shows "No active student organizations match this view." with "Try a different search term." Empty tabs say: Pending "No organizations are waiting for review."; Returned "No organizations are returned to their Department Head."; Archived "No archived organizations." each with a short hint line.</t>
  </si>
  <si>
    <t>SAO-019</t>
  </si>
  <si>
    <t>The Review registration drawer shows the registration and its ten documents</t>
  </si>
  <si>
    <t>Signed in as SAO 990001. A semester must be active first (Setup and records &gt; Academic years, Set as active). Department Head 940001 has registered an organization with all ten files.</t>
  </si>
  <si>
    <t xml:space="preserve">1. Open the Pending review tab.
2. Select Review on the new organization.
3. Read the drawer titled Review registration.
4. Scroll to Registration documents.
5. Select Open on the first document.</t>
  </si>
  <si>
    <t>The drawer shows the registration steps, Organization (name and code), College, Description, Submitted date and Submitted by. Registration documents lists 10 files, each with an Open button; Open shows the PDF in a new tab. The footer has Return and Approve, and a box Remarks (required to return). Approve stays greyed out while the details load.</t>
  </si>
  <si>
    <t>SAO-020</t>
  </si>
  <si>
    <t>Return without remarks is refused</t>
  </si>
  <si>
    <t>Validation</t>
  </si>
  <si>
    <t>Signed in as SAO 990001. A Pending registration exists.</t>
  </si>
  <si>
    <t xml:space="preserve">1. Open Review on a pending organization.
2. Leave Remarks empty.
3. Select Return.
4. Read the message under the Remarks box.
5. Close the drawer and look at the organization.</t>
  </si>
  <si>
    <t>The message "Add remarks explaining what the Department Head needs to fix." appears under Remarks and nothing is saved. The organization is still in Pending review.</t>
  </si>
  <si>
    <t>SAO-021</t>
  </si>
  <si>
    <t>Return a registration with remarks and the Department Head sees it</t>
  </si>
  <si>
    <t>Signed in as SAO 990001. A Pending registration from Department Head 940001 exists.</t>
  </si>
  <si>
    <t xml:space="preserve">1. Open Review on the pending organization.
2. Type "Missing charter signature" in Remarks.
3. Select Return and read the green message.
4. Open the Returned tab and read the card.
5. Log out and sign in as Department Head 940001.
6. Open Organizations and find the row.</t>
  </si>
  <si>
    <t>The green message reads "&lt;Organization name&gt; returned to its Department Head." The drawer closes and the Pending count goes down by one. On the Returned tab the card shows "Returned with remarks" and your text. The Department Head sees the row as Returned with the SAO remarks and the button Edit and resubmit.</t>
  </si>
  <si>
    <t>SAO-022</t>
  </si>
  <si>
    <t>Approve a registration and move on to give it an administrator</t>
  </si>
  <si>
    <t xml:space="preserve">1. Open Review on the pending organization.
2. Select Approve and read the green message.
3. Read the next step shown in the drawer.
4. Select Provision administrator.
5. Read the Create administrator form.
6. Open the Active tab and find the organization.</t>
  </si>
  <si>
    <t>The message reads "&lt;Organization name&gt; approved and activated." The drawer stays open and says "Provision an administrator" with the text that the organization cannot sign in until it has one. Provision administrator opens Organizations &gt; Administrators with the Create administrator form and the organization locked. On the Active tab the card shows Active and "0 admins". The Pending count drops by one.</t>
  </si>
  <si>
    <t>SAO-023</t>
  </si>
  <si>
    <t>A registration that was already decided cannot be decided again</t>
  </si>
  <si>
    <t>Signed in as SAO 990001. Two browser windows. A Pending registration exists.</t>
  </si>
  <si>
    <t xml:space="preserve">1. In window A and window B, open Review on the same pending organization.
2. In window A select Approve.
3. In window B type some remarks and select Return (or select Approve).
4. Read the red message in window B.
5. Look at the Pending review tab in window B.</t>
  </si>
  <si>
    <t>Window B shows the red message "Only a pending registration can be reviewed." The drawer closes and the lists refresh. The organization stays Active; the second decision is not applied.</t>
  </si>
  <si>
    <t>SAO-024</t>
  </si>
  <si>
    <t>Edit an active organization</t>
  </si>
  <si>
    <t>Signed in as SAO 990001. Use an organization that is safe to change (not PSITS-CCS), for example one made in the registration journey.</t>
  </si>
  <si>
    <t xml:space="preserve">1. Open the Active tab and find the organization card.
2. Select the actions menu (Organization actions) and choose Edit organization.
3. Change the Description and pick a new Organization color.
4. Select Save organization.
5. Read the green message and the card.</t>
  </si>
  <si>
    <t>The dialog Edit organization has Organization name, Organization code, Main organization, College (read only), Organization color, Organization logo (optional) and Description. After saving, "Organization updated." appears and the card shows the new description and colour stripe.</t>
  </si>
  <si>
    <t>SAO-025</t>
  </si>
  <si>
    <t>Edit organization refuses empty and duplicate values</t>
  </si>
  <si>
    <t>Signed in as SAO 990001. At least two active organizations exist.</t>
  </si>
  <si>
    <t xml:space="preserve">1. Open Edit organization on an active organization.
2. Clear Organization name and select Save organization.
3. Type the name back. Change Organization code to the code of another organization.
4. Select Save organization and read the red message.
5. Set Organization name to the exact name of another organization and save again.
6. Cancel and look at the card.</t>
  </si>
  <si>
    <t>An empty name is stopped by the browser ("Please fill out this field") and nothing is sent. A duplicate code or name shows a red message such as "The acronym has already been taken." or "The name has already been taken." and the dialog stays open. After Cancel the card is unchanged.</t>
  </si>
  <si>
    <t>VERIFY: exact wording of the duplicate messages.</t>
  </si>
  <si>
    <t>SAO-026</t>
  </si>
  <si>
    <t>Add an existing user to an organization and manage its user profiles</t>
  </si>
  <si>
    <t>Signed in as SAO 990001. A user from the same college who belongs to another organization exists (if none, only the empty result can be tested).</t>
  </si>
  <si>
    <t xml:space="preserve">1. On the Active tab open the actions menu of an organization and choose Add existing user.
2. Read the note under the organization name and type a School ID in Search existing users.
3. Choose the user, pick a Role in destination organization, and select Add user.
4. Open the actions menu again and choose Manage user profiles.
5. Search for a School ID. Select Delete profile on a throwaway profile only, then read the confirmation box and cancel.</t>
  </si>
  <si>
    <t>The note reads "College: &lt;name&gt;. Only eligible users from this college who are not already members are listed." With no match it says "No eligible users found in this college." Roles offered: Student, SBO Officer, Department Head, Admin. A successful add shows "User added to the organization." Manage user profiles lists "Name · School ID", "Organization · role · status" and "Primary profile" or "Additional profile". Delete profile asks you to type the School ID to confirm; a profile that cannot be removed shows a reason and its button is greyed. With no match: "No profiles found in the organizations you manage."</t>
  </si>
  <si>
    <t>SAO-027</t>
  </si>
  <si>
    <t>Archive an active organization</t>
  </si>
  <si>
    <t>Signed in as SAO 990001. Use a throwaway organization (not PSITS-CCS), because its members cannot sign in while it is archived.</t>
  </si>
  <si>
    <t xml:space="preserve">1. On the Active tab open the actions menu of the throwaway organization.
2. Choose Archive organization.
3. Read the dialog and type a short Reason (optional).
4. Select Archive organization.
5. Read the green message.
6. Open the Archived tab and read the note at the top.</t>
  </si>
  <si>
    <t>The dialog says "&lt;Name&gt; becomes read-only and its members can no longer sign in. You can restore it later." After confirming, "&lt;Name&gt; archived." appears. The organization leaves the Active tab and shows on the Archived tab with the note "Archived organizations are read-only. Restore to make changes." and the badge "Archived, read only".</t>
  </si>
  <si>
    <t>SAO-028</t>
  </si>
  <si>
    <t>An archived organization is read only everywhere until it is restored</t>
  </si>
  <si>
    <t>Signed in as SAO 990001. An archived organization with an administrator exists.</t>
  </si>
  <si>
    <t xml:space="preserve">1. On the Archived tab read the buttons on the card.
2. Try to sign in as the organization administrator in another window.
3. Sign in as Department Head 940001 and look at the row on Organizations.
4. As SAO select Restore on the card and confirm Restore organization.
5. Read the green message and the Active tab.
6. Sign in as the organization administrator again.</t>
  </si>
  <si>
    <t>The card has only Open and Restore (no Review, Edit or Archive). The administrator cannot sign in and sees a clear message (VERIFY wording). The Department Head sees the row as Archived, Read only, with only View checklist. After restoring, "&lt;Name&gt; restored." appears, the organization is back on Active, and the administrator can sign in.</t>
  </si>
  <si>
    <t>SAO-029</t>
  </si>
  <si>
    <t>On a phone the organization lists turn into cards and nothing is cut off</t>
  </si>
  <si>
    <t>Signed in as SAO 990001. Use a phone or a window narrower than 768 pixels.</t>
  </si>
  <si>
    <t xml:space="preserve">1. Open Organizations &gt; Agency overview.
2. Scroll to a college and read a row.
3. Open Registrations and organizations and open Review on a card.
4. Scroll the drawer to the bottom buttons.
5. Open Reviews &gt; Compliance and read the Accreditation tab.</t>
  </si>
  <si>
    <t>Rows appear as readable cards, every button is large enough to tap, the Return and Approve buttons are reachable at the bottom of the drawer, and the page never scrolls sideways.</t>
  </si>
  <si>
    <t>SAO-030</t>
  </si>
  <si>
    <t>Organizations &gt; Registrations and organizations &gt; Open (Organization overview)</t>
  </si>
  <si>
    <t>The overview page shows one organization at a glance</t>
  </si>
  <si>
    <t>Signed in as SAO 990001. Use PSITS-CCS.</t>
  </si>
  <si>
    <t xml:space="preserve">1. Open Organizations &gt; Agency overview and select Open on PSITS-CCS.
2. Read the heading, status and the registration steps.
3. Scroll through Leadership, Members by role, Events, Approved budgets, Compliance and Pending approvals.
4. Select Open the review queue, then go back.
5. Select Open on a document in Latest documents.
6. Select View all documents and then Back to agency overview.</t>
  </si>
  <si>
    <t>The page shows the name, "ACRONYM · College", a status badge and steps Registered, SAO review, Administrator, First use. Leadership lists people with positions and status. Members by role shows Students, SBO officers, Admins and Total. Events shows Upcoming and Recent ("None." when empty). Approved budgets shows Allocated, Spent, Income, Remaining and "N approved budgets. Only approved budgets are counted." Compliance shows the accreditation badge and Documents awaiting review. Pending approvals says how many requests wait. Open the review queue opens Compliance, Review queue tab; View all documents opens the Track documents tab; a document opens in a new tab; with none: "No documents have been submitted."</t>
  </si>
  <si>
    <t>SAO-031</t>
  </si>
  <si>
    <t>An organization that does not exist shows an error with a way back</t>
  </si>
  <si>
    <t xml:space="preserve">1. Replace the address end with /dashboard/super-admin/organizations/999999 and press Enter.
2. Read the message.
3. Select Back to agency overview.</t>
  </si>
  <si>
    <t>The page shows "Organization unavailable" with an error description and a Retry button. The link Back to agency overview returns to the Agency overview.</t>
  </si>
  <si>
    <t>VERIFY: description wording.</t>
  </si>
  <si>
    <t>SAO-032</t>
  </si>
  <si>
    <t>Organizations &gt; Administrators</t>
  </si>
  <si>
    <t>The administrator list and its three summary tiles</t>
  </si>
  <si>
    <t xml:space="preserve">1. Open Organizations &gt; Administrators.
2. Read the three tiles: Total Admins, Active Accounts, Organizations Covered.
3. Read the table columns and one row.
4. Look for the grey group headings between rows.
5. Find School IDs 900001, 920011, 990002 and 990032 in the table.</t>
  </si>
  <si>
    <t>Tiles show counts. The table columns are Administrator (name, then "email · School ID"), Organization (the code), Position ("Organization Admin" when none is set), Status and Action (a menu). Group headings read "Main organizations" and "Sub organizations". The seeded Admins and Advisers appear as active.</t>
  </si>
  <si>
    <t>SAO-033</t>
  </si>
  <si>
    <t>Search and filter the administrator list</t>
  </si>
  <si>
    <t xml:space="preserve">1. Type 920011 in the search box (placeholder "Search name, School ID, email, or position").
2. Clear it. Choose one organization in "Filter by organization".
3. Set "Filter by account status" to Inactive.
4. Read the result.
5. Set the status back to All statuses and choose All organizations.</t>
  </si>
  <si>
    <t>Each filter narrows the table. When nothing matches the table is replaced by "No administrator accounts match this view." with "Change the filters or create a new Admin user." Clearing the filters brings the rows back. Status options are All statuses, Active, Inactive and Disabled.</t>
  </si>
  <si>
    <t>SAO-034</t>
  </si>
  <si>
    <t>Create an administrator who must change the password at first sign in</t>
  </si>
  <si>
    <t>Signed in as SAO 990001. An Active organization exists (for example one just approved).</t>
  </si>
  <si>
    <t xml:space="preserve">1. Select New Admin User.
2. Fill School ID (an unused number up to 8 digits, for example 9100123), First name, Last name and a new Email address.
3. Optionally fill Contact number and Position title (for example President).
4. Choose the Assigned organization.
5. Type the same Password and Confirm password (8 or more characters).
6. Select Create Admin User.
7. Read the green message and find the new row.
8. Sign in as the new administrator.</t>
  </si>
  <si>
    <t>The dialog closes and the green message reads "New Admin user created with the password set by SAO." The new administrator appears with status active. A box says "Done: &lt;name&gt; can sign in" with the button Open organization. The new administrator signs in with that password and must choose a new one before anything else opens, then reaches the Admin dashboard.</t>
  </si>
  <si>
    <t>SAO-035</t>
  </si>
  <si>
    <t>The create form refuses missing, mismatched and bad values</t>
  </si>
  <si>
    <t xml:space="preserve">1. Select New Admin User and select Create Admin User with an empty form.
2. Fill every required field but type a different Confirm password. Select Create Admin User.
3. Make the passwords match but only 5 characters long and select Create Admin User.
4. Type abc (no @) in Email address and select Create Admin User.
5. Type 0 in School ID, then 100000000, and select Create Admin User each time.
6. Use an existing School ID such as 900001 and select Create Admin User.
7. Use a new School ID but an existing email and select Create Admin User.</t>
  </si>
  <si>
    <t>The browser stops an empty form and highlights the first empty field. Different passwords show the red message "Password confirmation does not match." A 5 character password, an email without @ and a School ID outside 1 to 99999999 are stopped by the browser. An existing School ID or email shows a red message such as "The school id has already been taken." or "The email has already been taken." (VERIFY wording). The dialog stays open and no account is created.</t>
  </si>
  <si>
    <t>SAO-036</t>
  </si>
  <si>
    <t>Only active organizations can be chosen, and a provisioning link locks the choice</t>
  </si>
  <si>
    <t>Signed in as SAO 990001. A Pending organization and an Active organization with no administrator exist.</t>
  </si>
  <si>
    <t xml:space="preserve">1. Select New Admin User and open the Assigned organization list.
2. Check that Pending, Returned and Archived organizations are not listed.
3. Close the form. On Registrations and organizations select Provision administrator on the Active organization.
4. Check the Assigned organization field and the text under it.
5. Replace the address with /dashboard/super-admin/admins?organization=&lt;id of the Pending organization&gt;&amp;create=1 and press Enter.
6. Read the red message.</t>
  </si>
  <si>
    <t>The list offers only active organizations as "ACRONYM: Name". With Provision administrator the field is greyed and says "Locked to the organization you are provisioning." For a pending organization the page says "&lt;Name&gt; is not active yet. Approve its registration before assigning an administrator." and no form opens.</t>
  </si>
  <si>
    <t>SAO-037</t>
  </si>
  <si>
    <t>Edit an administrator</t>
  </si>
  <si>
    <t>Signed in as SAO 990001. Use Admin 900002 or an administrator you created.</t>
  </si>
  <si>
    <t xml:space="preserve">1. Open the Action menu of the row and choose Edit administrator.
2. Check that School ID cannot be changed and that there is no password field.
3. Change Position title.
4. Select Save Changes.
5. Read the green message and the row.</t>
  </si>
  <si>
    <t>The dialog is titled Edit Admin User and shows the School ID as plain text. There is no password field (the SAO cannot set an administrator password). After saving, "Administrator account updated successfully." appears and the Position column shows the new title.</t>
  </si>
  <si>
    <t>SAO-038</t>
  </si>
  <si>
    <t>The last active administrator of an organization cannot be switched off</t>
  </si>
  <si>
    <t>Signed in as SAO 990001. Organization NSC-CHS has only one Admin, Adviser 990032.</t>
  </si>
  <si>
    <t xml:space="preserve">1. Find School ID 990032 and open Edit administrator.
2. Set Account status to Disabled.
3. Select Save Changes and read the red message.
4. Set Account status back to Active, then choose a different Assigned organization.
5. Select Save Changes and read the message again.</t>
  </si>
  <si>
    <t>Both attempts show the red message "Add another active administrator before transferring or deactivating this organization's last active administrator." The account stays active and in its organization.</t>
  </si>
  <si>
    <t>SAO-039</t>
  </si>
  <si>
    <t>Send a password reset link to an administrator</t>
  </si>
  <si>
    <t>Signed in as SAO 990001. Mail is switched off on the public copy, so no email arrives there.</t>
  </si>
  <si>
    <t xml:space="preserve">1. Open the Action menu of an active administrator and choose Reset access.
2. Read the box titled Initiate password reset.
3. Select Send reset link.
4. Read the green message.
5. Open the Action menu of an inactive administrator and look at Reset access and Hand over role.</t>
  </si>
  <si>
    <t>The box says a secure reset link will be sent to the administrator's registered email and the current password is not shown. After Send reset link the green message reads "Password reset instructions were sent to the administrator email address." (VERIFY wording; on the public copy the mail is only written to the server log). For an inactive administrator Reset access and Hand over role are greyed out.</t>
  </si>
  <si>
    <t>SAO-040</t>
  </si>
  <si>
    <t>Hand over the administrator role to an existing member</t>
  </si>
  <si>
    <t>Signed in as SAO 990001. Use a throwaway organization with an active Admin and a student or officer whose primary organization is the same one.</t>
  </si>
  <si>
    <t xml:space="preserve">1. Open the Action menu of the Admin and choose Hand over role.
2. Read the drawer titled Hand over administrator role.
3. Type the member name in Find a member and pick the member.
4. Select Hand over.
5. Read the message that appears.
6. Sign in as the successor, then try to sign in as the old Admin.</t>
  </si>
  <si>
    <t>The drawer explains that the successor takes the position and the old account is deactivated, not deleted. The message reads "&lt;Successor&gt; now holds &lt;position&gt;" with "&lt;Old Admin&gt;'s account is inactive; their records stay in &lt;Organization&gt;'s history." The old Admin shows inactive and cannot sign in. The successor now sees the Admin menu.</t>
  </si>
  <si>
    <t>SAO-041</t>
  </si>
  <si>
    <t>Hand over to a new account and the checks on that form</t>
  </si>
  <si>
    <t>Signed in as SAO 990001. Use a throwaway organization with an active Admin.</t>
  </si>
  <si>
    <t xml:space="preserve">1. Open Hand over role and choose the tab New account.
2. Check that Hand over is greyed out while fields are empty.
3. Fill School ID, First name, Last name, Email, Initial password and Confirm password, but type a different confirmation.
4. Select Hand over and read the red message.
5. Fix the confirmation. Use an existing School ID and select Hand over.
6. Use a new School ID and select Hand over.
7. Switch to Existing member, search for zzzz and read the text.</t>
  </si>
  <si>
    <t>Hand over stays greyed out until every field except Contact number is filled. A wrong confirmation or an existing School ID shows a red message in the drawer (VERIFY wording) and nothing changes. A valid form hands the role over and the new account must change its password at first sign in. The member search with no match says "No matching members. Check the spelling, or create a new account for the successor."</t>
  </si>
  <si>
    <t>SAO-042</t>
  </si>
  <si>
    <t>Delete an administrator account</t>
  </si>
  <si>
    <t>Signed in as SAO 990001. Use an administrator you created with no records.</t>
  </si>
  <si>
    <t xml:space="preserve">1. Open the Action menu of that administrator and choose Delete administrator.
2. Read the box.
3. Select Cancel and check the row is still there.
4. Repeat and select Delete administrator.
5. Read the green message.
6. Try the same on an administrator with records such as 900001 and read the result.</t>
  </si>
  <si>
    <t>The box says "This removes the administrator profile. Accounts with linked records cannot be deleted." Cancel keeps the row. A confirmed delete shows "Administrator account removed." and the row disappears. An administrator with linked records is refused with a red message (VERIFY wording) and stays in the list.</t>
  </si>
  <si>
    <t>SAO-043</t>
  </si>
  <si>
    <t>Administrators of an archived organization cannot be changed</t>
  </si>
  <si>
    <t>Signed in as SAO 990001. An archived organization that still has an administrator exists.</t>
  </si>
  <si>
    <t xml:space="preserve">1. On Administrators find the administrator of the archived organization.
2. Open Edit administrator and change Position title.
3. Select Save Changes and read the red message.
4. Select New Admin User and open the Assigned organization list.</t>
  </si>
  <si>
    <t>The save is refused with a red message such as "Archived organizations are read only." (VERIFY wording) and nothing changes. The archived organization is not offered in the Assigned organization list.</t>
  </si>
  <si>
    <t>SAO-044</t>
  </si>
  <si>
    <t>Organizations &gt; Colleges</t>
  </si>
  <si>
    <t>The college list, its search and the View organizations link</t>
  </si>
  <si>
    <t xml:space="preserve">1. Open Organizations &gt; Colleges.
2. Read one card: name, code, organization count, Department Head and buttons.
3. Type Computer in Search colleges (placeholder "College name or code").
4. Type zzzz and read the message.
5. Clear the search and select View organizations on one card.</t>
  </si>
  <si>
    <t>A fresh seed shows 5 colleges. Each card shows the name, the code, "N organization(s) · Active", the Department Head name with a status badge and email, and the buttons Manage, Assign Department Head (only when the head is not active), View organizations and Upload logo. A search with no match shows "No colleges found" and "No colleges match your search." View organizations opens the Active tab of Registrations and organizations with the college name already in the search box.</t>
  </si>
  <si>
    <t>SAO-045</t>
  </si>
  <si>
    <t>Assign a Department Head to a college without an active head</t>
  </si>
  <si>
    <t>Signed in as SAO 990001. Use the Engineering college. First open Manage on its head 940005 and choose Deactivate (never deactivate 940001).</t>
  </si>
  <si>
    <t xml:space="preserve">1. On the Engineering card select Assign Department Head.
2. Read the dialog description.
3. Fill School ID (unused, up to 8 digits), First name, Last name, Email, Password and Confirm password.
4. Select Assign Department Head.
5. Read the green message and the card.
6. Sign in as the new Department Head.</t>
  </si>
  <si>
    <t>The dialog is titled Assign Department Head and says "&lt;College&gt;. This account acts on every student organization in the college." The green message reads "&lt;First&gt; &lt;Last&gt; is now the Department Head of &lt;College&gt;." The card shows the new head with an Active badge. The new head must set a new password at first sign in. A college with an active head shows only Manage, no Assign button.</t>
  </si>
  <si>
    <t>SAO-046</t>
  </si>
  <si>
    <t>Assign Department Head refuses missing and bad values</t>
  </si>
  <si>
    <t>Signed in as SAO 990001. A college without an active head exists.</t>
  </si>
  <si>
    <t xml:space="preserve">1. Open Assign Department Head and select Assign Department Head with every field empty.
2. Type abc in School ID, then 123456789, and select Assign Department Head.
3. Type abc in Email and a 5 character Password, and a different Confirm password.
4. Select Assign Department Head and read every message.
5. Use the existing School ID 940001 with valid other values and select Assign Department Head.</t>
  </si>
  <si>
    <t>Messages appear under the fields: "Enter the School ID.", "Enter the first name.", "Enter the last name.", "Enter the email address.", "Enter an initial password.", "Enter the password again."; "Use a School ID of up to 8 digits."; "Enter a valid email address."; "Use at least 8 characters."; "The password confirmation does not match." The first wrong field gets the cursor. An existing School ID or email is refused by the server under the field (VERIFY wording). Nothing is created.</t>
  </si>
  <si>
    <t>SAO-047</t>
  </si>
  <si>
    <t>Edit a Department Head and send a password reset</t>
  </si>
  <si>
    <t>Signed in as SAO 990001. Use the Business college head 940002 or another head you can change.</t>
  </si>
  <si>
    <t xml:space="preserve">1. Select Manage on the card.
2. Check that Save changes is greyed out and the School ID cannot be edited.
3. Change the Last name and select Save changes.
4. Reopen Manage, clear First name and type abc in Email, then select Save changes.
5. Select Send password reset, then Send reset link.
6. Read the green message.</t>
  </si>
  <si>
    <t>The dialog is titled Manage Department Head. Save changes is greyed until something changes. A good change shows "Department Head details updated." and the card shows it. Empty or bad values show "Enter the first name." and "Enter a valid email address." A duplicate email is refused under the field. The reset box is titled Send password reset and ends with "Password reset instructions were sent to the Department Head email address." (VERIFY wording; no mail arrives on the public copy).</t>
  </si>
  <si>
    <t>SAO-048</t>
  </si>
  <si>
    <t>Deactivate and reactivate a Department Head</t>
  </si>
  <si>
    <t>Signed in as SAO 990001. Use Department Head 940005 (Engineering). Do not use 940001.</t>
  </si>
  <si>
    <t xml:space="preserve">1. Select Manage on the Engineering card and then Deactivate.
2. Read the box titled Deactivate Department Head and select Deactivate.
3. Read the green message and the badge on the card.
4. In another window try to sign in as 940005.
5. Select Manage again and check Send password reset.
6. Select Reactivate and confirm.</t>
  </si>
  <si>
    <t>The box says they can no longer sign in and any open session ends. The message reads "&lt;Name&gt; was deactivated and can no longer sign in." The badge turns Inactive, the Assign Department Head button appears, and Send password reset is greyed out. The sign in is refused. After Reactivate the message reads "&lt;Name&gt; was reactivated." and the head signs in again.</t>
  </si>
  <si>
    <t>SAO-049</t>
  </si>
  <si>
    <t>Upload a college logo</t>
  </si>
  <si>
    <t xml:space="preserve">1. Select Upload logo on one college card and choose a PNG smaller than 2 MB.
2. Read the green message and the card.
3. Select Upload logo again and choose a PDF file.
4. Read the result.
5. Select Upload logo again and choose an image larger than 2 MB.</t>
  </si>
  <si>
    <t>A good image shows "Logo updated for &lt;College&gt;." and the logo appears on the card. A wrong file type or an image over 2 MB shows a red message and the old logo stays.</t>
  </si>
  <si>
    <t>VERIFY: the exact message.</t>
  </si>
  <si>
    <t>SAO-050</t>
  </si>
  <si>
    <t>Reviews &gt; Compliance</t>
  </si>
  <si>
    <t>The six Compliance tabs open and show their content</t>
  </si>
  <si>
    <t xml:space="preserve">1. Open Reviews &gt; Compliance.
2. Read the six tab names.
3. Select each tab in turn.
4. After each tab read the address bar.
5. Look for an error banner on every tab.</t>
  </si>
  <si>
    <t>Tabs read Accreditation (opens first), Requirements, Review queue (with a number in brackets when submissions wait), Event requirements, Financial reports, Track documents. The address ends with ?tab=accreditation, requirements, review, events, financial or documents. Each tab shows its own content and no error banner.</t>
  </si>
  <si>
    <t>SAO-051</t>
  </si>
  <si>
    <t>Accreditation tab ranks organizations by what needs attention</t>
  </si>
  <si>
    <t>Signed in as SAO 990001. A semester must be active first (Setup and records &gt; Academic years, Set as active).</t>
  </si>
  <si>
    <t xml:space="preserve">1. Open the Accreditation tab.
2. Read the card title and the academic year line.
3. Read the columns for the first rows.
4. Find a row whose Next action says Review N submission(s) and select it.
5. Read the Review queue that opens.</t>
  </si>
  <si>
    <t>The card is "Organization accreditation" with "Academic year 2026-2027". Columns are Organization, Accreditation (badge Accredited, Pending review, Incomplete or Returned plus progress steps), Requirements met (for example 3/11), Overdue (red when above 0) and Next action (Review N submissions, Awaiting submission, Waiting on the organization, All caught up, or No active requirements). Organizations with overdue items come first. The button opens the Review queue filtered to that organization with Awaiting review selected. With no data the empty text is "No organizations to track yet".</t>
  </si>
  <si>
    <t>SAO-052</t>
  </si>
  <si>
    <t>Add a requirement and see the checks on the form</t>
  </si>
  <si>
    <t xml:space="preserve">1. Open the Requirements tab and select New requirement.
2. Select Add requirement with the form empty (clear the Academic year first if it is prefilled).
3. Read the messages.
4. Fill Name (for example QA Test Report), Deadline (a future date) and Academic year.
5. Select Add requirement.
6. Read the green message and find the row.
7. Sign in as Admin 900001 and open Records &gt; Compliance.</t>
  </si>
  <si>
    <t>The empty form shows "Choose the academic year this requirement applies to.", "Set the deadline for organizations." and "Enter a name for this requirement." and the cursor goes to the first one. A good form shows "Requirement added. Every active organization has been notified." and the row appears in the Requirement catalog (columns Requirement, Academic year, Deadline, Description). Admin 900001 sees a notification "New compliance requirement" and the new requirement in Compliance.</t>
  </si>
  <si>
    <t>SAO-053</t>
  </si>
  <si>
    <t>Edit, switch off and delete a requirement</t>
  </si>
  <si>
    <t>Signed in as SAO 990001. Use the QA Test Report requirement from the previous case.</t>
  </si>
  <si>
    <t xml:space="preserve">1. On the Requirements tab select Edit on the row, change the Name and select Save changes.
2. Switch the toggle named "&lt;name&gt; active" off and read the box.
3. Select Mark inactive and read the message.
4. Switch it on again and read the message.
5. Select Delete, read the box and select Delete requirement.
6. Try Delete on a requirement that already has submissions.</t>
  </si>
  <si>
    <t>Save shows "Requirement updated." The box "Mark this requirement inactive?" says organizations will no longer need to submit it; after confirming the message reads "&lt;name&gt; marked inactive." and switching on shows "&lt;name&gt; marked active." with no box. Delete shows "Delete this requirement?" and then "&lt;name&gt; deleted." A requirement with submissions is refused with "This requirement already has submissions. Deactivate it to preserve those records." A requirement of a completed semester cannot be edited ("Completed semester requirements are read only." VERIFY).</t>
  </si>
  <si>
    <t>SAO-054</t>
  </si>
  <si>
    <t>Review queue filters, count and empty states</t>
  </si>
  <si>
    <t xml:space="preserve">1. Open the Review queue tab and read the count above the table.
2. Open "Filter by status" and try Awaiting review, Approved, Returned and All statuses.
3. Open "Filter by organization" and choose one organization.
4. Choose a combination that has no rows and read the message.
5. Select Clear filters.</t>
  </si>
  <si>
    <t>The default status is Awaiting review. The count reads "N submissions" or "1 submission". Columns are Organization, Requirement (with Registration document, Renewal document or Semestral report), Submitted, Submitted by, Status. A filter with no rows shows "No submissions match these filters" with "Try a different status or organization, or clear the filters." Clear filters returns to Awaiting review. With nothing at all the page says "Nothing to review". The organization list also holds registrations written as "&lt;Name&gt; (registration)".</t>
  </si>
  <si>
    <t>SAO-055</t>
  </si>
  <si>
    <t>Approve a compliance submission</t>
  </si>
  <si>
    <t>Signed in as SAO 990001. Admin 900001 has uploaded one requirement on Records &gt; Compliance (PDF file).</t>
  </si>
  <si>
    <t xml:space="preserve">1. Open the Review queue tab and find the submission.
2. Select the open icon on the row to read the file.
3. Select the organization name in the row to open the drawer.
4. Select Approve.
5. Read the box and select Approve.
6. Read the message, then open the Accreditation tab.</t>
  </si>
  <si>
    <t>The file opens in a new tab. The drawer shows the steps and "Submitted by". The box "Approve this submission?" says the organization will be notified and the document will be locked. The message reads Approved "&lt;requirement&gt;" for &lt;organization&gt;. The drawer status becomes Approved and Approve and Return disappear. On Accreditation the Requirements met value for that organization goes up by 1. Admin 900001 sees it as Approved and cannot upload again.</t>
  </si>
  <si>
    <t>SAO-056</t>
  </si>
  <si>
    <t>Return a compliance submission needs remarks</t>
  </si>
  <si>
    <t>Signed in as SAO 990001. A submission is waiting in the Review queue.</t>
  </si>
  <si>
    <t xml:space="preserve">1. Open the submission drawer and select Return.
2. Select Return to organization with the Remarks box empty.
3. Read the message.
4. Type what must be fixed in Remarks.
5. Select Return to organization.
6. Read the message and the drawer.</t>
  </si>
  <si>
    <t>The box is titled Return this submission ("A remark is required so the organization knows what to fix."). The empty box shows "Write what the organization needs to correct before returning this submission." A good return shows "Submission returned to the organization with your remarks." The status becomes Returned and the drawer shows "SAO remarks". Admin 900001 sees the remark and can upload a new file.</t>
  </si>
  <si>
    <t>SAO-057</t>
  </si>
  <si>
    <t>Registration documents are not decided in the Review queue</t>
  </si>
  <si>
    <t xml:space="preserve">1. Open the Review queue tab.
2. Set Filter by status to All statuses and choose "&lt;Organization&gt; (registration)" in Filter by organization.
3. Read the Status text of a row.
4. Check the row for Approve and Return buttons.
5. Select Open organization review.</t>
  </si>
  <si>
    <t>Registration documents show the text "Decided in the organization review" (or "Registration returned, waiting for the Department Head" for a returned one). There are no Approve or Return buttons. Open organization review opens the Review registration drawer in Registrations and organizations. A second SAO window that approves the same submission first causes "Only a pending submission can be reviewed." in the first window (VERIFY).</t>
  </si>
  <si>
    <t>SAO-058</t>
  </si>
  <si>
    <t>Event requirements checklist: add, edit and remove a file requirement</t>
  </si>
  <si>
    <t xml:space="preserve">1. Open the Event requirements tab and read the card Submission checklist.
2. Select Add requirement with File name empty and read the message.
3. Type QA sample letter, choose Venue type On campus and select Add requirement.
4. Select the pencil on the new row, change the name and select Save changes.
5. Select Remove on the row and read the box.
6. Select Remove requirement.</t>
  </si>
  <si>
    <t>The checklist shows rows with "PDF · On campus · Required" and the count "N active". The empty form shows "Enter the name of the file organizations must submit." Adding shows "Requirement added." Editing shows "Requirement updated." Removing asks "Remove this requirement?" and then shows "Requirement removed." A requirement that already has submitted files is refused with a red message and must be marked inactive instead. The option "Only if applicable" shows the row as "If applicable".</t>
  </si>
  <si>
    <t>SAO-059</t>
  </si>
  <si>
    <t>Approve an event that waits for the SAO</t>
  </si>
  <si>
    <t>Signed in as SAO 990001. Admin 900001 proposed an event and uploaded all required files, and Department Head 940001 approved it first.</t>
  </si>
  <si>
    <t xml:space="preserve">1. Open the Event requirements tab and scroll to Events waiting for SAO.
2. Select View files on the event and read the file list.
3. Select Hide files.
4. Select Approve.
5. Read the box and select Approve event.
6. Read the message.</t>
  </si>
  <si>
    <t>The card shows the event title and "Event #id · requester". View files lists the uploaded files. The box "Approve this event?" says the organization will be notified. The message reads "Event approved." and the row leaves the list. With nothing waiting the card says "No event submissions are waiting for review." Before the Department Head approves, the SAO cannot decide: "The Department Head must approve this event before the SAO can decide it." (VERIFY where it shows).</t>
  </si>
  <si>
    <t>SAO-060</t>
  </si>
  <si>
    <t>Reject an event needs remarks</t>
  </si>
  <si>
    <t>Signed in as SAO 990001. An event waits for the SAO as in the previous case.</t>
  </si>
  <si>
    <t xml:space="preserve">1. Under Events waiting for SAO select Reject.
2. Select Reject event with Remarks for rejection empty.
3. Read the message.
4. Type why the event is rejected.
5. Select Reject event.
6. Read the message.</t>
  </si>
  <si>
    <t>The box is titled Reject this event. The empty box shows "Write why this event is rejected so the organization can respond." A good rejection shows "Event rejected." and the organization sees the remarks on the event.</t>
  </si>
  <si>
    <t>SAO-061</t>
  </si>
  <si>
    <t>Financial reports tab: search, filters and empty state</t>
  </si>
  <si>
    <t xml:space="preserve">1. Open the Financial reports tab and read the line under the tabs.
2. Type part of a report title in "Search report titles".
3. Choose an organization, then a Document type, then a Report status.
4. Read the result count and the filter chips.
5. Choose filters that match nothing and read the message.
6. Select Clear.</t>
  </si>
  <si>
    <t>The tab says "Reports organizations submitted for SAO review. Decide each one here." The Report inbox says only reports that completed Department Head review appear here. Options: Document type (All document types, Financial reports, Income statements); Report status (All statuses, Awaiting SAO review, Approved, Rejected). The count reads "N financial reports". Status shows as "pending sao", "approved" or "rejected". No match shows "No financial reports found." Clear restores the list.</t>
  </si>
  <si>
    <t>SAO-062</t>
  </si>
  <si>
    <t>Approve a financial report</t>
  </si>
  <si>
    <t>Signed in as SAO 990001. Admin 900001 generated and submitted a financial report and Department Head 940001 approved it first.</t>
  </si>
  <si>
    <t xml:space="preserve">1. Open the Financial reports tab and find the report with the amber status.
2. Select View and read the window.
3. Select Download PDF.
4. Select Approve.
5. Read the box and select Approve report.
6. Read the message and the row.</t>
  </si>
  <si>
    <t>The window shows the summary text, Required signatories and Supporting documents (each opens as a file). Download PDF shows "PDF downloaded." The box "Approve financial report" asks to confirm the report is ready for final acceptance. The message reads "Financial report approved." and the row shows approved. Admin 900001 sees the report as Approved on Finance &gt; Financial reports.</t>
  </si>
  <si>
    <t>SAO-063</t>
  </si>
  <si>
    <t>Reject a financial report needs a reason</t>
  </si>
  <si>
    <t>Signed in as SAO 990001. A financial report is waiting for the SAO.</t>
  </si>
  <si>
    <t xml:space="preserve">1. Open the report with View and select Reject.
2. Look at the Reject report button while Rejection reason is empty.
3. Type what must be corrected.
4. Select Reject report.
5. Read the message and the row.</t>
  </si>
  <si>
    <t>The box is titled Reject financial report ("State what the organization must correct before resubmitting."). Reject report is greyed out until a reason is typed. The message reads "Financial report rejected." and the row shows rejected. The organization sees the reason.</t>
  </si>
  <si>
    <t>SAO-064</t>
  </si>
  <si>
    <t>Track documents: find any file an organization submitted</t>
  </si>
  <si>
    <t>Signed in as SAO 990001. Organizations have submitted files.</t>
  </si>
  <si>
    <t xml:space="preserve">1. Open the Track documents tab.
2. Type an organization code in Search organizations.
3. Choose a Semester and a Document type.
4. Select an organization row to open it.
5. Select View on a file.
6. Select Clear filters.</t>
  </si>
  <si>
    <t>Rows read "CODE - Name", the college, "N files" and "Latest &lt;date&gt;". An open row groups files under Event requirements, Semestral report, Semester renewal, Financial reports, Financial report supporting documents and Registration documents, each with a status badge and, for events, "With the Department Head" or "With the SAO". View opens the file in a new tab. "Showing x of y files" and Load more files appear for long lists. No match shows "No documents match these filters". With no files at all: "No documents submitted yet." Lists show 20 organizations per page.</t>
  </si>
  <si>
    <t>SAO-065</t>
  </si>
  <si>
    <t>Reviews &gt; Venues</t>
  </si>
  <si>
    <t>Venues page has three tabs and a working calendar</t>
  </si>
  <si>
    <t xml:space="preserve">1. Open Reviews &gt; Venues.
2. Read the three tabs: Calendar, Booking requests, Venue catalog.
3. On the Calendar select Next, then Previous, then Today.
4. Open "Venue to show" and choose one venue.
5. Switch the calendar view if the page offers a Day, Week or Month choice.</t>
  </si>
  <si>
    <t>Calendar is selected first. The card says "Who holds each venue and when. A pending request that overlaps another booking is labelled Conflict." Next and Previous move the period, Today comes back, and the Venue to show list narrows the calendar. On a phone the calendar does not scroll sideways.</t>
  </si>
  <si>
    <t>VERIFY: the names of the view buttons.</t>
  </si>
  <si>
    <t>SAO-066</t>
  </si>
  <si>
    <t>Add a venue and see the form checks</t>
  </si>
  <si>
    <t xml:space="preserve">1. Open the Venue catalog tab and select New venue.
2. Select Add venue with the form empty.
3. Read the red message.
4. Type Name QA Hall, Location "Building A, Ground Floor" and Capacity -1, then select Add venue.
5. Change Capacity to 50 and select Add venue.
6. Read the message and find the row.</t>
  </si>
  <si>
    <t>The empty form and a negative capacity show "Complete the name, location, and a valid capacity before saving." A good form shows "Venue added to the catalog." and the row appears with Venue, Location, Capacity and an Active status switch. With no venues at all the tab says "No venues added yet".</t>
  </si>
  <si>
    <t>SAO-067</t>
  </si>
  <si>
    <t>Edit, switch off and delete a venue</t>
  </si>
  <si>
    <t>Signed in as SAO 990001. Use the QA Hall venue.</t>
  </si>
  <si>
    <t xml:space="preserve">1. On the Venue catalog tab select Edit on QA Hall, change the Capacity and select Save changes.
2. Select the Active switch of QA Hall.
3. Read the message.
4. Select the trash button named "Delete QA Hall", read the box and select Cancel.
5. Select the trash button again and select Delete venue.
6. Try Delete on a venue that has any booking.</t>
  </si>
  <si>
    <t>Saving shows "Venue updated." The switch shows "QA Hall" marked inactive. and an inactive venue is no longer offered when an organization books (check with Admin 900001, VERIFY). The delete box says it cannot be undone. A confirmed delete shows "QA Hall" deleted. A venue with any booking, even a past or declined one, is refused: "This venue has booking history, so it cannot be deleted. Mark it inactive instead to stop new requests."</t>
  </si>
  <si>
    <t>SAO-068</t>
  </si>
  <si>
    <t>Booking requests queue: default view, filters and empty states</t>
  </si>
  <si>
    <t xml:space="preserve">1. Open the Booking requests tab.
2. Read the status filter and the count (for example "2 requests").
3. Try each status: Awaiting decision, Approved, Rejected, Withdrawn, All statuses.
4. Choose one venue in "Filter by venue".
5. Choose filters with no result and read the message, then select Clear filters.</t>
  </si>
  <si>
    <t>The default is Awaiting decision. Columns are Organization, Venue, Event, Requested time, Status (with a stage line). With nothing waiting the page says "Nothing to review" and "Organization admins and officers request venues from Venue booking. Each request appears here for your decision." A filter with no result shows "No booking requests match these filters". Clear filters returns to Awaiting decision.</t>
  </si>
  <si>
    <t>SAO-069</t>
  </si>
  <si>
    <t>Approve a booking request and see overlaps first</t>
  </si>
  <si>
    <t>Signed in as SAO 990001. Admin 900001 requested a venue on Venue booking.</t>
  </si>
  <si>
    <t xml:space="preserve">1. On Booking requests find the pending row.
2. Select the organization name to open the drawer, then read it.
3. Select Approve.
4. Read the box titled Approve this booking?.
5. Select Approve in the box.
6. Read the message, then open the Calendar tab.</t>
  </si>
  <si>
    <t>The drawer shows the booking steps, Organization, Event and Requested time. The box first says "Checking for overlapping bookings..." and then "No overlapping bookings for this venue and time." or lists "Overlaps N other booking(s) for this venue". The message reads Booking for "&lt;venue&gt;" approved., the row leaves Awaiting decision, shows under Approved and appears on the calendar. Admin 900001 sees it approved. Back to back bookings do not overlap.</t>
  </si>
  <si>
    <t>SAO-070</t>
  </si>
  <si>
    <t>Reject a booking request needs remarks</t>
  </si>
  <si>
    <t>Signed in as SAO 990001. A booking request is pending.</t>
  </si>
  <si>
    <t xml:space="preserve">1. Select Reject on the pending row.
2. Read the box titled Reject this booking.
3. Check that Reject booking is greyed out while Remarks is empty.
4. Type the reason in Remarks.
5. Select Reject booking.
6. Read the message.</t>
  </si>
  <si>
    <t>The box says "A remark is required so the organization knows why." The button is greyed until a reason is typed. The message reads Booking for "&lt;venue&gt;" rejected. and the organization sees the remark.</t>
  </si>
  <si>
    <t>SAO-071</t>
  </si>
  <si>
    <t>Two requests for the same time are flagged as a Conflict</t>
  </si>
  <si>
    <t>Signed in as SAO 990001. Two organizations (for example Admin 900001 and Admin 920011) each requested the same venue for overlapping times.</t>
  </si>
  <si>
    <t xml:space="preserve">1. Open the Booking requests tab.
2. Look at the Status of both rows.
3. Approve the first request.
4. Select Approve on the second request and read the box.
5. Select Approve in the box.
6. Read the message.</t>
  </si>
  <si>
    <t>Both rows carry the label Conflict. The second Approve box warns "Overlaps 1 other booking for this venue" and says the server refuses an approval that overlaps an approved booking. The approval is refused with a message such as "Another booking for this venue was approved for an overlapping time in the meantime." (VERIFY wording) and the request stays pending.</t>
  </si>
  <si>
    <t>SAO-072</t>
  </si>
  <si>
    <t>Reviews &gt; Grievances</t>
  </si>
  <si>
    <t>Grievance tiles and filters</t>
  </si>
  <si>
    <t>Signed in as SAO 990001. Some grievances exist (a Student files one on Support &gt; My grievances).</t>
  </si>
  <si>
    <t xml:space="preserve">1. Open Reviews &gt; Grievances.
2. Read the eight tiles: Submitted, Under review, Resolved, Dismissed, Critical, High, Medium, Low.
3. Select the Submitted tile, then select it again.
4. Use the four filters: Addressed to, Status, Urgency, Category.
5. Sort the table by selecting the Urgency and Filed headers.
6. Select Clear filters.</t>
  </si>
  <si>
    <t>Selecting a tile highlights it and filters the table; selecting it again clears it. Addressed to offers "Organization + SAO", "Addressed to organizations" and "Addressed to SAO". Category offers Safety &amp; Security, Financial Integrity, Facilities &amp; Maintenance, Academic / Faculty and General. The count reads "N grievances". The default order is by urgency, Critical first. No match shows "No grievances match these filters"; with no data at all: "Nothing to review" with "Students file grievances from My grievances, addressed to their organization or to the SAO. Each one appears here, sorted by urgency."</t>
  </si>
  <si>
    <t>SAO-073</t>
  </si>
  <si>
    <t>Open a grievance addressed to the SAO</t>
  </si>
  <si>
    <t>Signed in as SAO 990001. Student 2100142 filed a grievance addressed to the SAO (Support &gt; My grievances).</t>
  </si>
  <si>
    <t xml:space="preserve">1. On Grievances select the grievance title.
2. Read the badges at the top of the drawer.
3. Read the steps and the line under them.
4. Read the filer, Addressed to, Description and Filed date.
5. Read the buttons under Update status.</t>
  </si>
  <si>
    <t>The drawer shows status, "&lt;urgency&gt; urgency" and category badges, the progress steps with a "waiting for SAO" line, the filer's name, Addressed to "Student Affairs Office", the Description and the Filed date. For a grievance filed anonymously toward the organization the SAO still sees the name with the note "Filed anonymously toward the organization. Handle with added discretion." Buttons: Move to under review, Resolve, Dismiss.</t>
  </si>
  <si>
    <t>SAO-074</t>
  </si>
  <si>
    <t>Move a grievance to under review</t>
  </si>
  <si>
    <t>Signed in as SAO 990001. A grievance with status Submitted exists.</t>
  </si>
  <si>
    <t xml:space="preserve">1. Open the grievance drawer.
2. Select Move to under review.
3. Read the green message.
4. Look at the status badge and at the buttons.
5. Sign in as the student who filed it and open Support &gt; My grievances.</t>
  </si>
  <si>
    <t>No remarks are needed. The message reads "Grievance updated. The student has been notified." The status becomes Under review and only Resolve and Dismiss remain (it cannot go back to Submitted). The student sees the new status.</t>
  </si>
  <si>
    <t>SAO-075</t>
  </si>
  <si>
    <t>Resolve a grievance with remarks</t>
  </si>
  <si>
    <t>Signed in as SAO 990001. A grievance with status Submitted or Under review exists.</t>
  </si>
  <si>
    <t xml:space="preserve">1. Open the grievance drawer and select Resolve.
2. Read the box.
3. Check that the Resolve button in the box is greyed out while Remarks is empty.
4. Type the outcome in Remarks.
5. Select Resolve in the box.
6. Read the drawer, then sign in as the student and open My grievances.</t>
  </si>
  <si>
    <t>The box says "These remarks are shared with the student who filed this grievance." Resolve is greyed until remarks are typed. The message reads "Grievance updated. The student has been notified." The drawer shows Resolved, the Remarks box and "This grievance is closed and cannot be reopened." The student sees Resolved and the remarks.</t>
  </si>
  <si>
    <t>SAO-076</t>
  </si>
  <si>
    <t>Dismiss a grievance and confirm it stays closed</t>
  </si>
  <si>
    <t xml:space="preserve">1. Open the grievance drawer and select Dismiss.
2. Check that the red Dismiss button is greyed out while Remarks is empty.
3. Type the reason and select Dismiss in the box.
4. Read the drawer.
5. Close and open the same grievance again.</t>
  </si>
  <si>
    <t>After dismissing, the status is Dismissed with the remarks and the line "This grievance is closed and cannot be reopened." There are no Update status buttons, also after reopening.</t>
  </si>
  <si>
    <t>SAO-077</t>
  </si>
  <si>
    <t>A grievance addressed to an organization can also be decided by the SAO</t>
  </si>
  <si>
    <t>Signed in as SAO 990001. A student filed a grievance addressed to their organization.</t>
  </si>
  <si>
    <t xml:space="preserve">1. Set "Filter by addressed to" to Addressed to organizations.
2. Open the grievance.
3. Read Addressed to and the steps.
4. Select Move to under review.</t>
  </si>
  <si>
    <t>The row subtitle shows the category and the organization name, and the drawer says Addressed to "&lt;Organization name&gt;". The steps show that the Admin's turn comes first (VERIFY wording). The SAO may still move it to Under review and the student is notified.</t>
  </si>
  <si>
    <t>SAO-078</t>
  </si>
  <si>
    <t>Reviews &gt; Clearances</t>
  </si>
  <si>
    <t>Clearances page without any period</t>
  </si>
  <si>
    <t>Signed in as SAO 990001. No clearance period exists yet (skip if one exists).</t>
  </si>
  <si>
    <t xml:space="preserve">1. Open Reviews &gt; Clearances.
2. Read the empty message.
3. Select New clearance period in the message.
4. Select Cancel.</t>
  </si>
  <si>
    <t>The page says "No clearance periods yet" with "Open a clearance period to generate a pending signature line for every active student, for each role you require." and a New clearance period button.</t>
  </si>
  <si>
    <t>VERIFY: whether the fresh seed already has a period.</t>
  </si>
  <si>
    <t>SAO-079</t>
  </si>
  <si>
    <t>Open a clearance period for every student</t>
  </si>
  <si>
    <t>Signed in as SAO 990001. Student accounts exist.</t>
  </si>
  <si>
    <t xml:space="preserve">1. Select New clearance period.
2. Type the Title "QA Clearance 1st Sem" and check that Academic year is filled (for example 2026-2027).
3. Pick a Deadline date.
4. Select the roles "Student Affairs Office (SAO)" and "Organization adviser".
5. Type "Org Secretary" in the extra role box and select Add.
6. Select Open this period.
7. Read the message and the new card.
8. Sign in as Student 2100142 and open Support &gt; My clearance.</t>
  </si>
  <si>
    <t>The button reads Open this period and is greyed out until Title, Academic year and at least one role are set. The message reads "Clearance period opened. Every active student now has a signature line waiting." The card shows the title, "2026-2027 · Deadline &lt;date&gt;", a badge per role and a meter "Students fully cleared". The student gets the notification "New clearance period opened" and sees the lines.</t>
  </si>
  <si>
    <t>SAO-080</t>
  </si>
  <si>
    <t>New clearance period form checks</t>
  </si>
  <si>
    <t xml:space="preserve">1. Open New clearance period and look at the Open this period button.
2. Clear the Academic year field.
3. Select a role, then select the x on its chip.
4. Type a long text (more than 20 characters) in Academic year, add a Title and one role, and select Open this period.
5. Read the message.</t>
  </si>
  <si>
    <t>The button is greyed out without a Title, an Academic year or a role. The chip x removes a role (button named "Remove &lt;role&gt;"). The extra role box accepts at most 10 roles in total. An Academic year over 20 characters is refused by the server with a red message under the field (VERIFY wording) and no period is created.</t>
  </si>
  <si>
    <t>SAO-081</t>
  </si>
  <si>
    <t>View the students of a period and search them</t>
  </si>
  <si>
    <t>Signed in as SAO 990001. A clearance period exists.</t>
  </si>
  <si>
    <t xml:space="preserve">1. Select View students on a period card.
2. Read the drawer heading.
3. Type 2100142 in "Search by name or school ID...".
4. Type zzzz and read the message.
5. Clear the search and read one student card.</t>
  </si>
  <si>
    <t>The drawer shows the title and "2026-2027 · SAO signature line". Each student card shows the name, School ID, progress steps, a stage line and one row per required role; "All cleared" appears when everything is signed. No match shows "No students in this period" with "No student in this period matches this search." Pages hold 20 students.</t>
  </si>
  <si>
    <t>SAO-082</t>
  </si>
  <si>
    <t>Clear the SAO signature of a student</t>
  </si>
  <si>
    <t>Signed in as SAO 990001. A clearance period exists and Student 2100142 has a pending SAO line.</t>
  </si>
  <si>
    <t xml:space="preserve">1. In the drawer find Student 2100142 and the row "Student Affairs Office (SAO)".
2. Select Clear.
3. Read the box and select Confirm clear.
4. Read the message and the row.
5. Sign in as Student 2100142 and open Support &gt; My clearance.</t>
  </si>
  <si>
    <t>The box is titled "Clear Student Affairs Office (SAO)" ("The student will be notified that this line is cleared.") and shows "Signing as the Student Affairs Office (SAO) signatory for this student." The message reads "Signature cleared." The row shows cleared with no buttons. The student sees the line cleared and a notification "Your clearance was updated".</t>
  </si>
  <si>
    <t>SAO-083</t>
  </si>
  <si>
    <t>Hold a signature with a reason and clear the hold later</t>
  </si>
  <si>
    <t>Signed in as SAO 990001. A student with a pending SAO line exists.</t>
  </si>
  <si>
    <t xml:space="preserve">1. Select Hold on the SAO row.
2. Check that Hold this signature is greyed out while Reason is empty.
3. Type "Unpaid organization dues" and select Hold this signature.
4. Read the message and the row.
5. Select Clear hold and confirm.</t>
  </si>
  <si>
    <t>The box reads "Hold Student Affairs Office (SAO)" and "The student will see this reason and who to follow up with." The message reads "Signature put on hold." The row shows held with "Reason: Unpaid organization dues" and a Clear hold button. After clearing, the row shows cleared. The student sees the reason while it is held.</t>
  </si>
  <si>
    <t>SAO-084</t>
  </si>
  <si>
    <t>The SAO can only sign its own line</t>
  </si>
  <si>
    <t>Signed in as SAO 990001. A period that also requires "Organization adviser" exists.</t>
  </si>
  <si>
    <t xml:space="preserve">1. Open View students on that period.
2. Look at the row for Organization adviser on a student.
3. Look at the row for Student Affairs Office (SAO) on the same student.
4. Open the same SAO row in a second window, clear it there, then select Clear in the first window and confirm.</t>
  </si>
  <si>
    <t>Rows of other roles show only a status badge, with no Clear or Hold button. Only the SAO row has buttons. A line that was already cleared in the other window is refused with "This clearance line has already been cleared." (VERIFY where it shows).</t>
  </si>
  <si>
    <t>SAO-085</t>
  </si>
  <si>
    <t>Delete a clearance period</t>
  </si>
  <si>
    <t>Signed in as SAO 990001. One unsigned period (use the QA period) and one period with a signed line exist.</t>
  </si>
  <si>
    <t xml:space="preserve">1. Select the trash button named "Delete QA Clearance 1st Sem".
2. Read the box, select Cancel, and check the card remains.
3. Select the trash button again and select Delete period.
4. Read the message.
5. Select the trash button on a period with a cleared or held line and select Delete period.</t>
  </si>
  <si>
    <t>The box says the period and its unsigned rows are removed and this cannot be undone. A confirmed delete shows "QA Clearance 1st Sem" deleted. A period that already has signed entries is refused with "This clearance period already has signed entries and cannot be deleted." and stays.</t>
  </si>
  <si>
    <t>SAO-086</t>
  </si>
  <si>
    <t>Updates &gt; University announcements</t>
  </si>
  <si>
    <t>Announcements page when nothing was written yet</t>
  </si>
  <si>
    <t>Signed in as SAO 990001. No official announcement exists yet (skip if one exists).</t>
  </si>
  <si>
    <t xml:space="preserve">1. Open Updates &gt; University announcements.
2. Read the empty message.
3. Select Create official notice.
4. Read the top of the dialog, then select Cancel.</t>
  </si>
  <si>
    <t>The page says "No official announcements yet" with "Official notices reach every user, organization, or college you choose. Publish one here." and a button Create official notice. The dialog says "Create official SAO announcement" and "Written manually by the SAO Director. AI drafting is not available here."</t>
  </si>
  <si>
    <t>SAO-087</t>
  </si>
  <si>
    <t>Save a draft, edit it and delete it</t>
  </si>
  <si>
    <t xml:space="preserve">1. Select Create official notice.
2. Type a Title and an Announcement text, leave Confirm publish unticked and select Save draft.
3. Read the card.
4. Select Edit draft, change the Title and select Save draft.
5. Select Delete draft on the card.
6. Read the box and select Delete draft.</t>
  </si>
  <si>
    <t>The card shows "Student Affairs Office · Official", the title, the label DRAFT, the first lines of the text and "N recipients · all users". Edit draft keeps it a draft. The box "Delete this draft?" says it will never be sent and cannot be undone. After deleting, "Draft deleted." appears and the card is gone.</t>
  </si>
  <si>
    <t>SAO-088</t>
  </si>
  <si>
    <t>Publish an official notice to all users</t>
  </si>
  <si>
    <t xml:space="preserve">1. Select Create official notice and type a Title and an Announcement text.
2. Keep Audience scope on "All HIUSA users".
3. Tick Confirm publish and note that the button text changes.
4. Select Publish official notice.
5. Read the card.
6. Sign in as Student 2100142 and open the bell or Updates.</t>
  </si>
  <si>
    <t>With Confirm publish ticked the button reads Publish official notice (otherwise Save draft). The card shows PUBLISHED and the number of recipients. The student receives a notification titled "SAO Official: &lt;title&gt;". The published card has no Edit draft and no Delete draft.</t>
  </si>
  <si>
    <t>SAO-089</t>
  </si>
  <si>
    <t>Choose the audience of a notice</t>
  </si>
  <si>
    <t xml:space="preserve">1. Open Create official notice.
2. Open Audience scope and read all five choices.
3. Choose "Selected organizations" and tick only PSITS-CCS.
4. In Optional role filter tick STUDENT only.
5. Tick Confirm publish and select Publish official notice.
6. Check that Student 2100142 got the notice and Student 2400118 did not.</t>
  </si>
  <si>
    <t>Choices are All HIUSA users, All organizations, Selected organizations, All departments, Selected departments. Selected organizations shows a checkbox per organization code; Selected departments shows the college names. Role filter offers STUDENT, SBO OFFICER, DEPARTMENT HEAD, ADMIN. The recipient count on the card matches the audience. Only matching accounts get the notification.</t>
  </si>
  <si>
    <t>SAO-090</t>
  </si>
  <si>
    <t>Notice form checks and schedule rules</t>
  </si>
  <si>
    <t xml:space="preserve">1. Open Create official notice and select Save draft with Title empty.
2. Choose "Selected organizations", tick none, tick Confirm publish and select Publish official notice.
3. Choose "Selected departments", tick none and select Publish official notice.
4. Set Schedule (optional) to a date in the past and save.
5. Set Schedule to tomorrow and Expires to today and save.
6. Set Schedule to tomorrow and Expires to the day after and save as a draft.</t>
  </si>
  <si>
    <t>An empty Title is stopped by the browser. The server answers "Choose at least one organization." and "Choose at least one department." (the red message may show on the page behind the dialog; VERIFY where). A past schedule is refused (VERIFY wording). "Expiration must be after the scheduled publish date." appears for the second case. A valid scheduled notice is saved and the card shows SCHEDULED when published with a future date.</t>
  </si>
  <si>
    <t>SAO-091</t>
  </si>
  <si>
    <t>A published notice can only be archived</t>
  </si>
  <si>
    <t>Signed in as SAO 990001. A published notice exists.</t>
  </si>
  <si>
    <t xml:space="preserve">1. Find a card labelled PUBLISHED.
2. Check for Edit draft and Delete draft buttons.
3. Select Archive on the card.
4. Read the card.
5. Sign in as Student 2100142 and open the Announcements feed.</t>
  </si>
  <si>
    <t>A published card has no Edit draft or Delete draft, only Archive. After archiving the card loses the Archive button and students no longer see the notice in the feed (VERIFY the label after archiving). The server also answers "Published announcements cannot be deleted. Archive them instead." to a delete request.</t>
  </si>
  <si>
    <t>SAO-092</t>
  </si>
  <si>
    <t>Updates &gt; Notifications</t>
  </si>
  <si>
    <t>The Notifications page lists, opens and clears notices</t>
  </si>
  <si>
    <t>Signed in as SAO 990001. A Department Head has registered an organization or an Admin has submitted a file, so notices exist.</t>
  </si>
  <si>
    <t xml:space="preserve">1. Open Updates &gt; Notifications.
2. Read one unread row (blue left bar) and one read row.
3. Select an unread row.
4. Read the page it opens, then go back.
5. Select Mark all as read.</t>
  </si>
  <si>
    <t>Each row shows an icon, a title, a message and the date. Selecting a row marks it read and opens the related page when there is one (an arrow icon shows it). Mark all as read clears the blue bars and is greyed out when nothing is unread. With no notices: "No SAO notifications yet" with "Registrations, submissions, and requests that need the SAO are announced here as organizations send them."</t>
  </si>
  <si>
    <t>SAO-093</t>
  </si>
  <si>
    <t>The bell at the top shows new notices and opens the related record</t>
  </si>
  <si>
    <t xml:space="preserve">1. Look at the bell at the top right and read the number badge.
2. Select the bell.
3. Select one notice and read its detail.
4. Select Open related record.
5. Select the bell again and choose Mark all as read.</t>
  </si>
  <si>
    <t>The badge shows the unread count (9+ when more than nine). The panel says "Notifications" with "N new". A notice shows its full text with Back to notifications and Open related record. Mark all as read shows "All notifications marked as read." and the badge disappears. An empty panel says "No notifications yet".</t>
  </si>
  <si>
    <t>SAO-094</t>
  </si>
  <si>
    <t>Other roles create SAO notices that lead to the right page</t>
  </si>
  <si>
    <t xml:space="preserve">1. Sign in as Department Head 940001 and register a new organization with the ten files.
2. Sign in as Admin 900001 and upload one compliance requirement on Records &gt; Compliance.
3. Sign in as the SAO and open the bell.
4. Select the registration notice and note where it lands.
5. Select the compliance notice and note where it lands.</t>
  </si>
  <si>
    <t>Each action produces a notice for the SAO. The registration notice leads to the Pending review registration or its drawer. The compliance notice leads to the Review queue on Reviews &gt; Compliance.</t>
  </si>
  <si>
    <t>VERIFY: the exact destination of each notice and that it lands on the exact item.</t>
  </si>
  <si>
    <t>SAO-095</t>
  </si>
  <si>
    <t>Setup and records &gt; Academic years</t>
  </si>
  <si>
    <t>The Academic years page on a fresh seed</t>
  </si>
  <si>
    <t>Signed in as SAO 990001. Fresh seed: one current academic year and no semester.</t>
  </si>
  <si>
    <t xml:space="preserve">1. Open Setup and records &gt; Academic years.
2. Read the card "&lt;year&gt; is the current year" and its three links.
3. Read the Calendar table.
4. Read the Semesters card.
5. Select the first link in the card.</t>
  </si>
  <si>
    <t>The first card reads "2026-2027 is the current year" with the dates and "At the start of each year": "Publish this year's accreditation requirements" (opens Compliance), "Hand over administrator roles after elections" (opens Administrators), "Open a clearance period for the semester" (opens Clearances). The Calendar table shows the year, its dates and the Current badge. Semesters shows "AY 2026-2027" with "No semesters added." and the button Add semester. With no year the page says "No academic year set" and offers Add academic year (VERIFY on an empty database).</t>
  </si>
  <si>
    <t>SAO-096</t>
  </si>
  <si>
    <t>Add the first semester (the first setup step)</t>
  </si>
  <si>
    <t>Signed in as SAO 990001. Fresh seed with no semester yet.</t>
  </si>
  <si>
    <t xml:space="preserve">1. In Semesters select Add semester under AY 2026-2027.
2. Keep 1st Semester selected.
3. Pick Starts on 2026-08-03 and Ends on 2026-12-18 (or any dates inside the year that cover today).
4. Check that the Add semester button was greyed out until both dates were set.
5. Select Add semester.
6. Read the message and the new row.</t>
  </si>
  <si>
    <t>The message reads "Semester added". The row shows "1st Semester", the dates and the word upcoming, with the buttons Set as active and a trash button. Adding the semester also creates the semester requirements for Compliance &gt; Requirements and Event requirements (VERIFY counts: 11 compliance requirements and 18 event file requirements). Nothing changes for Department Heads yet.</t>
  </si>
  <si>
    <t>SAO-097</t>
  </si>
  <si>
    <t>Semester dates are checked</t>
  </si>
  <si>
    <t>Signed in as SAO 990001. A 1st Semester already exists in the year.</t>
  </si>
  <si>
    <t xml:space="preserve">1. Select Add semester for the same year.
2. Choose 1st Semester again, pick any dates and select Add semester.
3. Choose 2nd Semester with dates before the academic year starts and select Add semester.
4. Choose 2nd Semester with dates that overlap the 1st Semester and select Add semester.
5. Choose 2nd Semester with Ends on earlier than Starts on and select Add semester.</t>
  </si>
  <si>
    <t>Red messages appear under the fields: "This semester already exists for the academic year."; "Semester dates must fall within the academic year."; "Semester dates cannot overlap."; and a message that the end date must be after the start date (VERIFY wording). The Add semester button only shows while the year has fewer than 2 semesters.</t>
  </si>
  <si>
    <t>SAO-098</t>
  </si>
  <si>
    <t>Set a semester as active and see the effect everywhere</t>
  </si>
  <si>
    <t>Signed in as SAO 990001. A semester in upcoming status exists. Department Head 940001 and Student 2100142 exist.</t>
  </si>
  <si>
    <t xml:space="preserve">1. Select Set as active on the semester.
2. Read the message and the row.
3. Look at the top bar next to the page title.
4. Sign in as Department Head 940001 and open Organizations.
5. Check the Register an organization form for its required files.
6. Sign in as Student 2100142 and open Events.</t>
  </si>
  <si>
    <t>The message reads "Academic semester activated". The row shows active and the button Close semester. The top bar shows "AY 2026-2027 · 1st Semester". Department Head 940001 can now register an organization and sees ten required files. Seeded events, tasks and the seeded election belong to no semester, so they disappear from lists once a semester is active (the student sees fewer events).</t>
  </si>
  <si>
    <t>SAO-099</t>
  </si>
  <si>
    <t>A Department Head cannot register before a semester is active</t>
  </si>
  <si>
    <t>Signed in as SAO 990001. Fresh seed with no active semester. Department Head 940001.</t>
  </si>
  <si>
    <t xml:space="preserve">1. Sign in as Department Head 940001 and open Organizations.
2. Try Register an organization and read what the form offers.
3. If the form lets you submit, fill it with ten files and submit.
4. Read the message.
5. Sign in as SAO, set a semester active, then repeat as Department Head.</t>
  </si>
  <si>
    <t>Before activation the Department Head has no registration requirements and the server refuses with "No registration requirements are open. The SAO must activate a semester first." After the SAO sets a semester as active the form lists the ten files and registration works.</t>
  </si>
  <si>
    <t>SAO-100</t>
  </si>
  <si>
    <t>Close a semester and activate the next one</t>
  </si>
  <si>
    <t>Signed in as SAO 990001. An active 1st Semester and an upcoming 2nd Semester exist in the same year.</t>
  </si>
  <si>
    <t xml:space="preserve">1. Select Close semester on the active semester.
2. Read the message and the row.
3. Check the completed semester for a Set as active button.
4. Select Set as active on the 2nd Semester.
5. Read the rows.</t>
  </si>
  <si>
    <t>Closing shows "Academic semester completed" and the row reads completed with no Set as active button (a completed semester cannot be reopened: "A completed semester cannot be reopened."). Activating the 2nd Semester makes it active and completes any other active semester. Activating a semester in a new year while the current year still has an unfinished semester is refused with "Complete both semesters in the current academic year before starting a new year."</t>
  </si>
  <si>
    <t>SAO-101</t>
  </si>
  <si>
    <t>Delete a semester</t>
  </si>
  <si>
    <t>Signed in as SAO 990001. An upcoming 2nd Semester with nothing attached, an active semester, and a semester that has events exist (if you cannot set this up, test only the first two).</t>
  </si>
  <si>
    <t xml:space="preserve">1. Select the trash button named "Delete 2nd semester of AY 2026-2027", read the box and select Cancel.
2. Select the trash button again and select Delete semester.
3. Read the message.
4. Look for a trash button on the active semester.
5. Select the trash button on the semester that has events and select Delete semester.</t>
  </si>
  <si>
    <t>The box says it cannot be undone and that a semester with events, tasks or requirements attached cannot be deleted. A clean semester is removed with "Semester removed". The active semester has no trash button. A semester with attached data is refused with "This semester cannot be deleted because of: events." followed by a bullet list of reasons.</t>
  </si>
  <si>
    <t>SAO-102</t>
  </si>
  <si>
    <t>Add an academic year</t>
  </si>
  <si>
    <t xml:space="preserve">1. Select Add academic year.
2. Pick Starts on 2027-08-02 and check that Label fills in "2027-2028".
3. Pick Ends on 2028-05-26.
4. Check that the Add academic year button was greyed out until all three fields were filled.
5. Select Add academic year.
6. Read the message and the Calendar table.</t>
  </si>
  <si>
    <t>The message reads "2027-2028 added to the calendar" and the year appears in the Calendar table as Not current. (Only the very first year ever added becomes current: then the message reads "&lt;label&gt; is now the current academic year".) The Semesters card gets an "AY 2027-2028" block.</t>
  </si>
  <si>
    <t>SAO-103</t>
  </si>
  <si>
    <t>Academic year form refuses bad labels and dates</t>
  </si>
  <si>
    <t xml:space="preserve">1. Open Add academic year and type Label 27-28 with valid dates, then select Add academic year.
2. Change Label to 2027-2029 and select Add academic year.
3. Use a Label not yet used but dates that overlap the current year and select Add academic year.
4. Set Ends on earlier than Starts on and select Add academic year.
5. Use the label of an existing year and select Add academic year.</t>
  </si>
  <si>
    <t>Red messages appear under the fields: "Use the form 2026-2027."; "Use two consecutive years, like 2026-2027."; "These dates overlap 2026-2027." (or the year name that overlaps); a message that the end date must be after the start date; and a message that the label has already been used (VERIFY wording). Nothing is added.</t>
  </si>
  <si>
    <t>SAO-104</t>
  </si>
  <si>
    <t>Edit an academic year; rename and shrink are limited</t>
  </si>
  <si>
    <t>Signed in as SAO 990001. The current year has a semester and has requirements.</t>
  </si>
  <si>
    <t xml:space="preserve">1. Select Edit on the current year.
2. Change Ends on so that it is earlier than the end of its semester and select Save changes.
3. Read the message.
4. Change the Label and select Save changes.
5. Read the message.</t>
  </si>
  <si>
    <t>The dialog is titled "Edit 2026-2027". Shrinking the dates is refused with "Academic year dates must still contain its semesters." A new label is refused with "&lt;label&gt; already labels requirements or clearance periods, so its name stays." Valid date changes save with "&lt;label&gt; updated".</t>
  </si>
  <si>
    <t>SAO-105</t>
  </si>
  <si>
    <t>Make a year current, remove a year and close a year</t>
  </si>
  <si>
    <t>Signed in as SAO 990001. A second academic year (2027-2028) exists. The current year has both semesters completed for the Close year step.</t>
  </si>
  <si>
    <t xml:space="preserve">1. Select Make current on the second year.
2. Read the box titled "Make this the current year" and select Make current.
3. Read the message. If a semester is active, read the red message instead.
4. Select the trash button named "Remove 2027-2028" (only non-current years have one) and select Remove year.
5. On a current year whose two semesters are completed select Close year and confirm.</t>
  </si>
  <si>
    <t>The box says accreditation will count this year's requirements. The message reads "&lt;label&gt; is now the current academic year", or while a semester is active it is refused with "Activate a semester in this year to change the active academic period." A year in use is refused with "&lt;label&gt; already has accreditation requirements or clearance periods, so it stays on the calendar." An unused year shows "&lt;label&gt; removed". Close year shows "AY &lt;label&gt; completed" and the year then reads Completed and cannot be reopened.</t>
  </si>
  <si>
    <t>SAO-106</t>
  </si>
  <si>
    <t>Setup and records &gt; Audit trail</t>
  </si>
  <si>
    <t>The audit trail lists activity and each record has details</t>
  </si>
  <si>
    <t xml:space="preserve">1. Open Setup and records &gt; Audit trail.
2. Read the table columns and the entry count.
3. Open the Audit actions menu of a row and choose View details.
4. Read the dialog.
5. Select the close button named "Close audit details".</t>
  </si>
  <si>
    <t>Columns are Time, Actor, Role, Organization, Module, Action, Affected record, Record ID, Details. The count reads "N entries" and the newest entry is first. The dialog reads "Audit record LOG-&lt;id&gt;" with Actor, Actor role / position, Actor academic profile, Affected record, Record type, Record ID, IP address, Timestamp, and a Before / after changes table (Field, Before, After) or the text "No field-level change payload was recorded for this action."</t>
  </si>
  <si>
    <t>SAO-107</t>
  </si>
  <si>
    <t>Audit filters, search and the empty result</t>
  </si>
  <si>
    <t xml:space="preserve">1. Open the Module list and read its options.
2. Choose a Module and an Action category, then read the entries.
3. Choose an Actor role and set From and To dates.
4. Open Sort audit logs and choose Oldest first.
5. Type zzzz in the search box (placeholder "Search actor, action, module, or record ID").
6. Select Clear.</t>
  </si>
  <si>
    <t>The Module list for the SAO leaves out the money modules (no Financial Ledger, Transactions, Collections, Remittances, Cash Advances, Invoices, Budgets or Orders) and includes for example Colleges, Compliance, Clearances, Grievances and System Administration. Action category offers Create, Update, Delete, Approve, Reject, Payment, Collection, Remittance, Attendance, Status Change. Chips show the active filters. No match shows "No audit activity matches these filters" with "Try a wider date range or another module." Clear restores the list.</t>
  </si>
  <si>
    <t>SAO-108</t>
  </si>
  <si>
    <t>Audit trail pages through long lists</t>
  </si>
  <si>
    <t>Signed in as SAO 990001. More than 10 entries exist.</t>
  </si>
  <si>
    <t xml:space="preserve">1. Scroll to the bottom of the table.
2. Read the line "Showing 1-10 of N".
3. Select Next page of audit records.
4. Read the line again.
5. Select Previous page of audit records.</t>
  </si>
  <si>
    <t>Ten entries show per page. The line changes to "Showing 11-20 of N" and back. Previous is disabled on the first page and Next on the last.</t>
  </si>
  <si>
    <t>SAO-109</t>
  </si>
  <si>
    <t>Export the audit trail to a CSV file</t>
  </si>
  <si>
    <t xml:space="preserve">1. Choose a Module so that the list has some entries.
2. Select Export CSV.
3. Read the message.
4. Open the downloaded file audit-log-&lt;number&gt;.csv.
5. Choose filters that match nothing and look at the Export CSV button.</t>
  </si>
  <si>
    <t>The button shows "Exporting..." and then a message "Audit log exported." with "Every entry matching your filters, not just this page." The file holds every matching entry. With zero matching entries the button is greyed out.</t>
  </si>
  <si>
    <t>SAO-110</t>
  </si>
  <si>
    <t>SAO decisions are written to the audit trail</t>
  </si>
  <si>
    <t>Signed in as SAO 990001. You have just approved or returned a registration, created an administrator or activated a semester.</t>
  </si>
  <si>
    <t xml:space="preserve">1. Open Setup and records &gt; Audit trail.
2. Set Module to System Administration.
3. Find the newest entries.
4. Open View details on the entry for your action.
5. Check Actor and Actor role.</t>
  </si>
  <si>
    <t>There is one entry per action with Actor "SAO ..." and role SAO, for example "SAO approved an organization registration.", "SAO returned an organization registration.", "SAO created an organization Admin account." or "SAO archived a student organization." The Organization column names the organization.</t>
  </si>
  <si>
    <t>VERIFY: wording of the semester entries.</t>
  </si>
  <si>
    <t>SAO-111</t>
  </si>
  <si>
    <t>Profile</t>
  </si>
  <si>
    <t>The SAO profile page shows the account and saves changes</t>
  </si>
  <si>
    <t xml:space="preserve">1. Open Profile at the bottom of the menu.
2. Read the left card: name, role badge, School ID, Organization, Email address.
3. Check that Save profile is greyed out.
4. Type a Mobile number (optional) such as 0917 123 4567.
5. Select Save profile.
6. Change it back and select Discard changes where needed.</t>
  </si>
  <si>
    <t>The card shows the role badge SAO, School ID 990001 and the email. Save profile and Discard changes are greyed out until something changes. A saved change shows a confirmation message (VERIFY wording) and the new value stays after reloading. An email that is not valid is refused with a red message.</t>
  </si>
  <si>
    <t>SAO-112</t>
  </si>
  <si>
    <t>Password change form checks</t>
  </si>
  <si>
    <t>Signed in as SAO 990001. Do not complete a successful change on the shared public copy unless the demo owner agrees.</t>
  </si>
  <si>
    <t xml:space="preserve">1. Scroll to Password &amp; security.
2. Select Update password with all three boxes empty.
3. Type any Current password and a New password of 5 characters, then select Update password.
4. Type a New password of 8 or more characters and a different Confirm new password, then select Update password.
5. Type the same value in both new boxes and look for the green line.
6. Type a wrong Current password and select Update password.</t>
  </si>
  <si>
    <t>Messages: "Current password, new password, and confirmation are required."; "New password must be at least 8 characters."; "New passwords do not match." When both new boxes match, the green line "New passwords match" shows. A wrong current password is refused by the server with a red message (VERIFY wording) and the password is not changed.</t>
  </si>
  <si>
    <t>SAO-113</t>
  </si>
  <si>
    <t>Study objectives</t>
  </si>
  <si>
    <t>The Study objectives page opens for the SAO</t>
  </si>
  <si>
    <t xml:space="preserve">1. Select Study objectives at the bottom of the menu.
2. Read the page.
3. Use the menu to go back to Dashboard.</t>
  </si>
  <si>
    <t>The page opens without an error and without redirecting the SAO away.</t>
  </si>
  <si>
    <t>VERIFY: what the page contains (it is shared by all roles).</t>
  </si>
  <si>
    <t>SAO-114</t>
  </si>
  <si>
    <t>Study objectives evidence links open pages the SAO may see</t>
  </si>
  <si>
    <t>Signed in as SAO 990001. Some activity exists in the system.</t>
  </si>
  <si>
    <t xml:space="preserve">1. Scroll to the bottom of the left menu and select Study objectives.
2. Find "Financial reports approved" and select it, if it has an arrow.
3. Go back and select "Announcements published", if it has an arrow.
4. Go back and select a tile such as "Orders placed" or "Check-ins recorded manually".
5. Write down which tiles are links and which are plain text.</t>
  </si>
  <si>
    <t>"Financial reports approved" opens Reviews &gt; Compliance and "Announcements published" opens University announcements. Tiles about events, orders, tasks and elections are plain text with no arrow, because the SAO menu has no page for them. No tile sends the SAO to a "not allowed" redirect.</t>
  </si>
  <si>
    <t>VERIFY: these two are the only linked tiles for the SAO (from the server route list).</t>
  </si>
  <si>
    <t>DH-001</t>
  </si>
  <si>
    <t>Sign in</t>
  </si>
  <si>
    <t>Department Head signs in and lands on the Department Head dashboard</t>
  </si>
  <si>
    <t>Account 940001 exists. The password is given to you separately.</t>
  </si>
  <si>
    <t xml:space="preserve">1. Open the HIUSA address in a browser.
2. Type 940001 in School ID / ID Number.
3. Type the password you were given.
4. Select Sign in.</t>
  </si>
  <si>
    <t>You land on the Department Head Dashboard (the address ends with /dashboard/department-head). The top bar shows your name, your college and the label Department Head. The menu is the Department Head menu.</t>
  </si>
  <si>
    <t>DH-002</t>
  </si>
  <si>
    <t>Wrong password is refused with a clear message</t>
  </si>
  <si>
    <t>Account 940001 exists. Use a different account than the one your teammates are using, because five wrong tries lock an account for 15 minutes.</t>
  </si>
  <si>
    <t xml:space="preserve">1. Open the HIUSA address.
2. Type 940001 in School ID / ID Number.
3. Type a wrong password.
4. Select Sign in.</t>
  </si>
  <si>
    <t>You stay on the Sign in page. A message says: That school ID and password did not match. Check both and try again, or reset your password. No dashboard opens.</t>
  </si>
  <si>
    <t>DH-003</t>
  </si>
  <si>
    <t>Menu</t>
  </si>
  <si>
    <t>Sidebar shows exactly the Department Head menu</t>
  </si>
  <si>
    <t>Sign in as Department Head 940001 (College of Computer Studies, home of PSITS-CCS). The password is given to you separately.</t>
  </si>
  <si>
    <t xml:space="preserve">1. Look at the left menu after sign in.
2. Read the top rows in order.
3. Find the heading College view (read only) and read what is under it.
4. Select Finance and read its sub items.
5. Look at the bottom of the menu.</t>
  </si>
  <si>
    <t>The menu reads: Dashboard, Approvals, Organizations. Under the heading College view (read only): Finance (Budgets, Ledger, Financial reports, Forecast), Calendar, Election results, Announcements. At the bottom: Profile and Study objectives. There is NO Members, Events and tasks, Voting, Store, Updates, Records or My activity group. Selecting Finance opens Budgets.</t>
  </si>
  <si>
    <t>DH-004</t>
  </si>
  <si>
    <t>Phone: the menu opens from Open menu and every Department Head page can be reached</t>
  </si>
  <si>
    <t>Sign in as Department Head 940001 (College of Computer Studies, home of PSITS-CCS). The password is given to you separately. Use a phone or a browser window narrower than 1024 pixels.</t>
  </si>
  <si>
    <t xml:space="preserve">1. Look at the top left of the screen.
2. Tap Open menu.
3. Tap Organizations.
4. Tap Open menu again and tap Approvals.
5. Tap Open menu again and tap Close menu.</t>
  </si>
  <si>
    <t>The menu slides in as a drawer. Each tap opens the right page and the drawer closes. Close menu hides the drawer. Nothing is cut off at the sides and no page scrolls sideways.</t>
  </si>
  <si>
    <t>DH-005</t>
  </si>
  <si>
    <t>Account menu</t>
  </si>
  <si>
    <t>Top bar shows who you are and the account menu has only your profile and Logout</t>
  </si>
  <si>
    <t xml:space="preserve">1. Look at the top right of the screen.
2. Read your name, your college name and the label Department Head.
3. Select the account button (its name starts with Account menu for).
4. Read the Profiles section.
5. Look at the buttons under it.</t>
  </si>
  <si>
    <t>Your name, college and Department Head are shown. The Profiles section lists one profile with the word Current and says: This is your only active profile. Other profiles appear here when an organization adds you. The buttons are View Profile and Logout.</t>
  </si>
  <si>
    <t>VERIFY: the exact college text shown in the top bar (it comes from the college home organization).</t>
  </si>
  <si>
    <t>DH-006</t>
  </si>
  <si>
    <t>Logout asks first, then returns to Sign in</t>
  </si>
  <si>
    <t xml:space="preserve">1. Select the account button in the top bar.
2. Select Logout.
3. Read the question that appears.
4. Confirm the logout.
5. Press the browser Back button.</t>
  </si>
  <si>
    <t>A confirmation appears before you are signed out. After you confirm, the Sign in page shows. Back should not show private pages again; you are asked to sign in.</t>
  </si>
  <si>
    <t>VERIFY: the exact words on the confirmation and what Back shows.</t>
  </si>
  <si>
    <t>DH-007</t>
  </si>
  <si>
    <t>Dashboard shows the college, the approvals and the oversight snapshot</t>
  </si>
  <si>
    <t xml:space="preserve">1. Select Dashboard in the menu.
2. Read the greeting at the top.
3. Find the box titled College of Computer Studies organizations.
4. Find the box titled Oversight snapshot.
5. Scroll down to Upcoming Events, Pending Approvals by Type and Recent Announcements.</t>
  </si>
  <si>
    <t>The page loads without an error. The college box says: Every student organization you oversee, by registration status. The Oversight snapshot has four tiles: Active Elections, Closed Elections, Upcoming Events, Pending Approvals. The lower boxes are Upcoming Events, Pending Approvals by Type and Recent Announcements. A box with nothing in it shows a short plain message, not a blank gap.</t>
  </si>
  <si>
    <t>DH-008</t>
  </si>
  <si>
    <t>Organization status tiles show counts and open the matching list</t>
  </si>
  <si>
    <t>Sign in as Department Head 940001 (College of Computer Studies, home of PSITS-CCS). The password is given to you separately. PSITS-CCS is Active. Register one more organization (see the Organizations cases) so there is also a Pending review row.</t>
  </si>
  <si>
    <t xml:space="preserve">1. Open Dashboard.
2. In the college box read the four tiles: Returned, Pending review, Active, Archived.
3. Select the Pending review tile.
4. Look at the address and the tab that is selected.
5. Go back to Dashboard and select Manage organizations.</t>
  </si>
  <si>
    <t>Each tile shows a number that matches the rows in Organizations. The Pending review tile opens Organizations with the Pending review tab selected (the address ends with ?status=pending). Manage organizations opens Organizations with All selected. A Returned tile with a number above 0 is red and says Action needed.</t>
  </si>
  <si>
    <t>DH-009</t>
  </si>
  <si>
    <t>Approvals banner counts the items waiting for the head and opens Approvals</t>
  </si>
  <si>
    <t>A semester is active. Admin 900001 (PSITS-CCS) has proposed an event with dates inside the semester, so it waits for the Department Head.</t>
  </si>
  <si>
    <t xml:space="preserve">1. Open Dashboard.
2. Find the yellow banner that says N item awaiting your approval.
3. Compare N with the Pending Approvals tile in Oversight snapshot.
4. Select the banner.</t>
  </si>
  <si>
    <t>The banner reads, for example, 1 item awaiting your approval (or items for more than one), with the line: Events, elections, and first-stage financial reports need your sign-off. The number matches the Pending Approvals tile. Selecting the banner opens Approvals. When nothing is pending the banner is not shown.</t>
  </si>
  <si>
    <t>DH-010</t>
  </si>
  <si>
    <t>Election card and Upcoming Events box, including the empty messages</t>
  </si>
  <si>
    <t xml:space="preserve">1. Open Dashboard.
2. Find the election card. It says either Active Election or No Active Election.
3. If an election is active, select View Results.
4. Go back to Dashboard and read the Upcoming Events box.
5. Select View all in the Upcoming Events box.</t>
  </si>
  <si>
    <t>With no running election the card says No Active Election and: No elections are currently running. With one running it shows the title, dates, a LIVE tag, View Details and View Results (View Results opens Election results). Upcoming Events lists up to four events with date, place and status, or says No upcoming events. View all opens the events list of your college.</t>
  </si>
  <si>
    <t>DH-011</t>
  </si>
  <si>
    <t>Pending Approvals by Type and Recent Announcements boxes</t>
  </si>
  <si>
    <t xml:space="preserve">1. Open Dashboard.
2. Find the box Pending Approvals by Type.
3. Select one request listed in it.
4. Go back to Dashboard and find the box Recent Announcements.
5. Select View all in that box.</t>
  </si>
  <si>
    <t>Pending Approvals by Type lists up to three waiting requests and a bar per type with a count and a percent. Selecting a request opens Approvals. With nothing waiting it says: Nothing awaiting your review. Recent Announcements shows up to three published announcements, or No announcements yet. View all opens Announcements.</t>
  </si>
  <si>
    <t>DH-012</t>
  </si>
  <si>
    <t>Getting started card: registration is blocked until the SAO opens a semester</t>
  </si>
  <si>
    <t>A fresh seed where the SAO has NOT activated a semester yet. Sign in as Department Head 940001 (College of Computer Studies, home of PSITS-CCS). The password is given to you separately.</t>
  </si>
  <si>
    <t xml:space="preserve">1. Open Dashboard.
2. Find the card Getting started.
3. Read the step Register your first student organization.
4. Look for a button on that step.
5. Read the other two steps: Follow your registration and Review approvals.</t>
  </si>
  <si>
    <t>The register step shows the note Waiting for the SAO to open the semester and has NO button. The other steps are listed: Follow your registration and Review approvals (its button is Open approvals).</t>
  </si>
  <si>
    <t>VERIFY: the card only shows while the steps are not all done and it has not been hidden.</t>
  </si>
  <si>
    <t>DH-013</t>
  </si>
  <si>
    <t>A returned registration leads the Needs attention list</t>
  </si>
  <si>
    <t>The SAO has activated a semester first (SAO: Setup and records &gt; Academic years &gt; Add semester, then Set as active). A fresh seed has no semester. The SAO has returned a registration with remarks (see the returned registration case).</t>
  </si>
  <si>
    <t xml:space="preserve">1. Open Dashboard.
2. Find the box Needs attention.
3. Find the row Registration returned: and the organization name.
4. Read the detail line under it.
5. Select the row, or select Edit and resubmit in the Getting started card.</t>
  </si>
  <si>
    <t>Registration rows come first in the list. The row shows the SAO remarks (cut to 160 characters) or, when there are none: The SAO returned this registration. Edit it and submit it again. Selecting it opens Organizations on the Returned tab.</t>
  </si>
  <si>
    <t>DH-014</t>
  </si>
  <si>
    <t>Phone: the dashboard fits the screen</t>
  </si>
  <si>
    <t>Sign in as Department Head 940001 (College of Computer Studies, home of PSITS-CCS). The password is given to you separately. Use a phone.</t>
  </si>
  <si>
    <t xml:space="preserve">1. Open Dashboard on a phone.
2. Scroll from top to bottom.
3. Tap the Returned, Pending review, Active and Archived tiles one by one.
4. Tap Open menu and then Approvals.</t>
  </si>
  <si>
    <t>Tiles stack in one or two columns. Text is readable and nothing is cut off. Tiles are big enough to tap. The page does not scroll sideways.</t>
  </si>
  <si>
    <t>DH-015</t>
  </si>
  <si>
    <t>Organizations</t>
  </si>
  <si>
    <t>Organizations page layout and the status tabs</t>
  </si>
  <si>
    <t xml:space="preserve">1. Select Organizations in the menu.
2. Read the line under the page title.
3. Look at the card Your college.
4. Look at the tabs above the table.
5. Read the table column names.</t>
  </si>
  <si>
    <t>The line says: Student organizations registered under your college. Register new ones and follow their SAO review. The card shows the college name and Department Head: your name. The tabs read All (n), Returned (n), Pending review (n), Active (n), Archived (n). Columns: Organization, Status, Admins, SBO Officers, Students, Submitted. The button Register an organization is at the top right.</t>
  </si>
  <si>
    <t>DH-016</t>
  </si>
  <si>
    <t>Status tabs filter the list and the address remembers the tab</t>
  </si>
  <si>
    <t>Sign in as Department Head 940001 (College of Computer Studies, home of PSITS-CCS). The password is given to you separately. At least two organizations with different statuses.</t>
  </si>
  <si>
    <t xml:space="preserve">1. Open Organizations.
2. Select the Active tab.
3. Look at the address bar.
4. Select the Pending review tab.
5. Select All.
6. Refresh the page while on Pending review.</t>
  </si>
  <si>
    <t>Each tab shows only organizations with that status and the number in the tab matches the rows. The address changes to ?status=active or ?status=pending and All removes it. After a refresh the same tab stays selected.</t>
  </si>
  <si>
    <t>DH-017</t>
  </si>
  <si>
    <t>Empty tab shows a clear message</t>
  </si>
  <si>
    <t>Sign in as Department Head 940001 (College of Computer Studies, home of PSITS-CCS). The password is given to you separately. A tab that has zero organizations, for example Archived (0).</t>
  </si>
  <si>
    <t xml:space="preserve">1. Open Organizations.
2. Select a tab whose count is 0, for example Archived.
3. Read the message in the table area.</t>
  </si>
  <si>
    <t>The table shows: No archived organizations (the status name matches the tab), with the text Choose another status to see the rest of your college. No error and no blank screen.</t>
  </si>
  <si>
    <t>DH-018</t>
  </si>
  <si>
    <t>View checklist of an active organization</t>
  </si>
  <si>
    <t>Sign in as Department Head 940001 (College of Computer Studies, home of PSITS-CCS). The password is given to you separately. PSITS-CCS is Active on the fresh seed.</t>
  </si>
  <si>
    <t xml:space="preserve">1. Open Organizations.
2. Find the row PSITS-CCS.
3. Select View checklist.
4. Read the panel that slides in: status, progress steps, Leadership, the Admins, SBO Officers and Students counts.
5. Read the Requirement checklist.
6. Select Close.</t>
  </si>
  <si>
    <t>A side panel titled with the organization name opens. It shows the Active status, the registration progress steps, the Leadership names (or: No Admin or SBO Officer is assigned yet.), three counts, and the Requirement checklist (or: No registration documents are on file.). Close shuts the panel and the address loses ?record=.</t>
  </si>
  <si>
    <t>DH-019</t>
  </si>
  <si>
    <t>Register form opens with one file box for each requirement</t>
  </si>
  <si>
    <t>The SAO has activated a semester first (SAO: Setup and records &gt; Academic years &gt; Add semester, then Set as active). A fresh seed has no semester. Sign in as Department Head 940001 (College of Computer Studies, home of PSITS-CCS). The password is given to you separately.</t>
  </si>
  <si>
    <t xml:space="preserve">1. Open Organizations.
2. Select Register an organization.
3. Read the form title and the text under it.
4. Scroll to Registration requirements and count the file boxes.
5. Read the line under Registration requirements.</t>
  </si>
  <si>
    <t>A form titled Register an organization opens. It says: The SAO reviews every registration. Attach all required documents as PDF files. There is one file box per requirement (ten on the fresh seed), each marked required. The line reads Academic year 2026-2027, semester 1 (the real year and number) and PDF only, up to 10 MB each.</t>
  </si>
  <si>
    <t>DH-020</t>
  </si>
  <si>
    <t>No active semester: the register form explains why it cannot be sent</t>
  </si>
  <si>
    <t xml:space="preserve">1. Open Organizations.
2. Select Register an organization.
3. Read the yellow message.
4. Look for a Submit for review button.
5. Select Close.</t>
  </si>
  <si>
    <t>The yellow message says: No registration requirements are open. The SAO must activate a semester first. There are no fields and NO Submit for review button. Only Close is offered.</t>
  </si>
  <si>
    <t>DH-021</t>
  </si>
  <si>
    <t>Register an organization with all documents</t>
  </si>
  <si>
    <t>The SAO has activated a semester first (SAO: Setup and records &gt; Academic years &gt; Add semester, then Set as active). A fresh seed has no semester. Sign in as Department Head 940001 (College of Computer Studies, home of PSITS-CCS). The password is given to you separately. Have ten small PDF files ready on the device (any PDF under 10 MB). Use a new name that no organization has.</t>
  </si>
  <si>
    <t xml:space="preserve">1. Open Organizations and select Register an organization.
2. Type a new Organization name.
3. Type a new Acronym.
4. Optional: fill Description and Color (for example #0B8ED0).
5. Choose one PDF in every file box.
6. Select Submit for review.</t>
  </si>
  <si>
    <t>The form closes. A message says: Organization submitted to the SAO for review. The new row appears with the status Pending review and the line Pending review: waiting for SAO review. The Pending review tab count goes up by one. The SAO gets a notification New organization registration.</t>
  </si>
  <si>
    <t>DH-022</t>
  </si>
  <si>
    <t>Register form: blank name, acronym and files are refused</t>
  </si>
  <si>
    <t xml:space="preserve">1. Open Organizations and select Register an organization.
2. Leave everything empty.
3. Select Submit for review.
4. Read each red message.
5. Note which field has the cursor.</t>
  </si>
  <si>
    <t>Nothing is sent. Messages: Enter the organization name. Enter the acronym. And under every file box: Attach a PDF for this requirement. The cursor moves to the first field with a problem.</t>
  </si>
  <si>
    <t>DH-023</t>
  </si>
  <si>
    <t>Register form: one missing document is named</t>
  </si>
  <si>
    <t xml:space="preserve">1. Open Organizations and select Register an organization.
2. Type a new name and a new acronym.
3. Choose a PDF in all file boxes except the last one.
4. Select Submit for review.
5. Read the messages.</t>
  </si>
  <si>
    <t>Only the last file box shows Attach a PDF for this requirement. The nine boxes with a file show no error. The form stays open and your typed text is kept.</t>
  </si>
  <si>
    <t>DH-024</t>
  </si>
  <si>
    <t>Register form: only PDF files are accepted</t>
  </si>
  <si>
    <t>The SAO has activated a semester first (SAO: Setup and records &gt; Academic years &gt; Add semester, then Set as active). A fresh seed has no semester. Sign in as Department Head 940001 (College of Computer Studies, home of PSITS-CCS). The password is given to you separately. Have a picture or a Word file ready.</t>
  </si>
  <si>
    <t xml:space="preserve">1. Open Organizations and select Register an organization.
2. In the first file box choose a picture (.jpg) or a Word file.
3. Read the message under that box.
4. Choose a real PDF in the same box.</t>
  </si>
  <si>
    <t>The message under the box says: Only PDF files are accepted. The wrong file is not kept. After you choose a PDF the message goes away and the file name shows as Selected: with its size.</t>
  </si>
  <si>
    <t>DH-025</t>
  </si>
  <si>
    <t>Register form: a file over 10 MB is refused</t>
  </si>
  <si>
    <t>The SAO has activated a semester first (SAO: Setup and records &gt; Academic years &gt; Add semester, then Set as active). A fresh seed has no semester. Sign in as Department Head 940001 (College of Computer Studies, home of PSITS-CCS). The password is given to you separately. Have a PDF larger than 10 MB ready.</t>
  </si>
  <si>
    <t xml:space="preserve">1. Open Organizations and select Register an organization.
2. In one file box choose the PDF larger than 10 MB.
3. Read the message.
4. Choose a PDF under 10 MB in the same box.</t>
  </si>
  <si>
    <t>The message says: This file is larger than 10 MB. Choose a smaller file. The large file is not kept. A smaller PDF is accepted. Largest file that should pass: just under 10 MB.</t>
  </si>
  <si>
    <t>DH-026</t>
  </si>
  <si>
    <t>Register form: a wrong color code is refused</t>
  </si>
  <si>
    <t xml:space="preserve">1. Open Organizations and select Register an organization.
2. Fill name, acronym and all ten PDFs.
3. In Color type blue.
4. Select Submit for review.
5. Change Color to #0B8ED0 and select Submit for review again.</t>
  </si>
  <si>
    <t>The first try shows: Use a color like #0B8ED0. and nothing is sent. With #0B8ED0 (or an empty Color) it is accepted. The small colored square next to Color follows what you type when the code is valid.</t>
  </si>
  <si>
    <t>DH-027</t>
  </si>
  <si>
    <t>Register form: a name or acronym that already exists is refused</t>
  </si>
  <si>
    <t>The SAO has activated a semester first (SAO: Setup and records &gt; Academic years &gt; Add semester, then Set as active). A fresh seed has no semester. Sign in as Department Head 940001 (College of Computer Studies, home of PSITS-CCS). The password is given to you separately. PSITS-CCS already exists.</t>
  </si>
  <si>
    <t xml:space="preserve">1. Open Organizations and select Register an organization.
2. Type the name of an existing organization (copy it from the list).
3. Type a new acronym and choose all ten PDFs.
4. Select Submit for review.
5. Change the name to a new one and the acronym to PSITS-CCS.
6. Select Submit for review.</t>
  </si>
  <si>
    <t>The form stays open and nothing is saved. Under Organization name you see a message that the name is already taken. Under Acronym you see a message that the acronym is already taken.</t>
  </si>
  <si>
    <t>VERIFY: the exact server wording (expected: The name has already been taken. and The acronym has already been taken.). A very similar name may instead say: An organization with a similar name already exists.</t>
  </si>
  <si>
    <t>DH-028</t>
  </si>
  <si>
    <t>Cancel the register form: nothing is saved</t>
  </si>
  <si>
    <t xml:space="preserve">1. Open Organizations and select Register an organization.
2. Type a name and choose one PDF.
3. Click on the dark area outside the form.
4. Select Cancel.
5. Look at the list.</t>
  </si>
  <si>
    <t>Clicking outside the form does NOT close it. Cancel closes it. No new row is in the list and no notice is sent to the SAO.</t>
  </si>
  <si>
    <t>DH-029</t>
  </si>
  <si>
    <t>SAO returns a registration: the head sees the remarks</t>
  </si>
  <si>
    <t>The SAO has activated a semester first (SAO: Setup and records &gt; Academic years &gt; Add semester, then Set as active). A fresh seed has no semester. Sign in as Department Head 940001 (College of Computer Studies, home of PSITS-CCS). The password is given to you separately. The head has a Pending review registration. The SAO (Organizations &gt; Registrations and organizations) returns it with the remarks: Replace the constitution with the signed copy.</t>
  </si>
  <si>
    <t xml:space="preserve">1. Open the bell in the top bar.
2. Find the notice Organization registration returned.
3. Select it and read it.
4. Open Organizations and select the Returned tab.
5. Read the row.</t>
  </si>
  <si>
    <t>The notice says the organization was returned and repeats the remarks. The row has the red status Returned, the line Returned: edit and resubmit and a red box SAO remarks with the SAO text. The row has three buttons: View checklist, Edit and resubmit, Withdraw.</t>
  </si>
  <si>
    <t>DH-030</t>
  </si>
  <si>
    <t>Edit and resubmit a returned registration</t>
  </si>
  <si>
    <t>The SAO has activated a semester first (SAO: Setup and records &gt; Academic years &gt; Add semester, then Set as active). A fresh seed has no semester. Sign in as Department Head 940001 (College of Computer Studies, home of PSITS-CCS). The password is given to you separately. The head has a Returned registration.</t>
  </si>
  <si>
    <t xml:space="preserve">1. Open Organizations and select the Returned tab.
2. Select Edit and resubmit on the returned row.
3. Read the form title and the red SAO remarks box.
4. Change the Description.
5. Select Resubmit to SAO.</t>
  </si>
  <si>
    <t>The form title is Edit and resubmit and the organization name. It says: Change the details and replace only the documents the SAO returned. Resubmitting sends it back to the SAO for review. The SAO remarks show at the top. After Resubmit to SAO a message says: Registration resubmitted to the SAO. The row now shows Pending review: waiting for SAO review and the SAO gets a notice Organization registration resubmitted.</t>
  </si>
  <si>
    <t>DH-031</t>
  </si>
  <si>
    <t>Resubmit with one replaced document</t>
  </si>
  <si>
    <t xml:space="preserve">1. Open Organizations, Returned tab, then Edit and resubmit.
2. Find the file box you want to change. Read Current file: under it.
3. Choose a different PDF in that one box only.
4. Leave all other boxes empty.
5. Select Resubmit to SAO.
6. Open View checklist on the row.</t>
  </si>
  <si>
    <t>The other documents are not required again (the boxes are not marked required). The row goes back to Pending review. In View checklist the replaced requirement shows the new file name and the status Submitted. The unchanged documents keep their old file names.</t>
  </si>
  <si>
    <t>DH-032</t>
  </si>
  <si>
    <t>Resubmit form: a blank name or a wrong file is refused</t>
  </si>
  <si>
    <t xml:space="preserve">1. Open Organizations, Returned tab, then Edit and resubmit.
2. Clear the Organization name.
3. Choose a picture file in one file box.
4. Select Resubmit to SAO.
5. Read the messages.</t>
  </si>
  <si>
    <t>Messages: Enter the organization name. and Only PDF files are accepted. Nothing is sent and the row stays Returned.</t>
  </si>
  <si>
    <t>DH-033</t>
  </si>
  <si>
    <t>Buttons shown on each row depend on the status</t>
  </si>
  <si>
    <t>Sign in as Department Head 940001 (College of Computer Studies, home of PSITS-CCS). The password is given to you separately. One Pending review row and PSITS-CCS (Active).</t>
  </si>
  <si>
    <t xml:space="preserve">1. Open Organizations.
2. Look at the buttons on the Pending review row.
3. Look at the buttons on the Active row PSITS-CCS.
4. Look at the buttons on a Returned row if you have one.</t>
  </si>
  <si>
    <t>Pending review row: View checklist and Withdraw. There is NO Edit and resubmit. Active row: View checklist only (no Withdraw, no Edit). Returned row: View checklist, Edit and resubmit and Withdraw. The head cannot change an active organization.</t>
  </si>
  <si>
    <t>DH-034</t>
  </si>
  <si>
    <t>Withdraw a pending registration</t>
  </si>
  <si>
    <t>The SAO has activated a semester first (SAO: Setup and records &gt; Academic years &gt; Add semester, then Set as active). A fresh seed has no semester. Sign in as Department Head 940001 (College of Computer Studies, home of PSITS-CCS). The password is given to you separately. The head has a Pending review registration that nobody uses yet.</t>
  </si>
  <si>
    <t xml:space="preserve">1. Open Organizations and select Withdraw on the Pending review row.
2. Read the question and the warning.
3. Select Keep registration.
4. Select Withdraw again and then Withdraw registration.
5. Look at the list.</t>
  </si>
  <si>
    <t>The question is Withdraw this registration? with the organization name and the warning: The SAO is told it was withdrawn and its documents are removed. This cannot be undone. Keep registration closes it and the row stays. Withdraw registration removes the row and shows: &lt;name&gt; withdrawn. The SAO gets a notice Organization registration withdrawn.</t>
  </si>
  <si>
    <t>DH-035</t>
  </si>
  <si>
    <t>SAO approves: the head sees Active and the next step</t>
  </si>
  <si>
    <t>The SAO has activated a semester first (SAO: Setup and records &gt; Academic years &gt; Add semester, then Set as active). A fresh seed has no semester. Sign in as Department Head 940001 (College of Computer Studies, home of PSITS-CCS). The password is given to you separately. The head has a Pending review registration. The SAO approves it and has NOT yet created its administrator.</t>
  </si>
  <si>
    <t xml:space="preserve">1. Open the bell and read the notice Organization registration approved.
2. Open Organizations and select the Active tab.
3. Find the new organization.
4. Read the status line under its name.
5. Open Dashboard and look at Needs attention.</t>
  </si>
  <si>
    <t>The notice says the organization was approved and is now active. The row shows Active and the line Approved: waiting for an administrator. Admins shows 0. Dashboard Needs attention shows Organization approved: waiting for an administrator. After the SAO creates the administrator, the row reads Active: administrator can sign in and Admins shows 1.</t>
  </si>
  <si>
    <t>DH-036</t>
  </si>
  <si>
    <t>Archived organization is read only</t>
  </si>
  <si>
    <t>Sign in as Department Head 940001 (College of Computer Studies, home of PSITS-CCS). The password is given to you separately. The SAO has archived an organization of this college (Organizations &gt; open it &gt; Archive).</t>
  </si>
  <si>
    <t xml:space="preserve">1. Open Organizations and select the Archived tab.
2. Find the archived row.
3. Read the text under its name.
4. Look at the buttons on the row.
5. Select View checklist.</t>
  </si>
  <si>
    <t>The row looks grey and says Archived by the SAO. Read only. The only button is View checklist. The side panel also says Archived by the SAO. Read only. The head cannot restore, edit or withdraw it.</t>
  </si>
  <si>
    <t>DH-037</t>
  </si>
  <si>
    <t>Head cannot create an administrator or assign roles</t>
  </si>
  <si>
    <t>Sign in as Department Head 940001 (College of Computer Studies, home of PSITS-CCS). The password is given to you separately. An Active organization with 0 Admins (just approved by the SAO).</t>
  </si>
  <si>
    <t xml:space="preserve">1. Open Organizations.
2. Select View checklist on the organization with 0 Admins.
3. Read the next step box.
4. Look for any button that creates an administrator or changes a role.</t>
  </si>
  <si>
    <t>The box says Approved: waiting for an administrator (and that the SAO assigns it). There is NO Create administrator, Add user or role button anywhere on the page. Only the SAO can provision an administrator.</t>
  </si>
  <si>
    <t>DH-038</t>
  </si>
  <si>
    <t>Another college head sees only their own college</t>
  </si>
  <si>
    <t>Two registrations exist: one by the CCS head (940001) and PSITS-CCS. Sign in as 940002 (College of Business).</t>
  </si>
  <si>
    <t xml:space="preserve">1. Sign in as 940002.
2. Open Organizations.
3. Read the college name in the Your college card.
4. Look for PSITS-CCS and for the organization the CCS head registered.
5. Copy the address of the CCS head Organizations page with ?record= and an id of a CCS organization, and open it in 940002.</t>
  </si>
  <si>
    <t>Only organizations of the Business college show (for example JPIA-CBE). PSITS-CCS and the CCS registration are not listed. Opening a CCS organization by address shows a red message: That organization is not in your college, so there is nothing to open.</t>
  </si>
  <si>
    <t>VERIFY: the exact Business college name shown.</t>
  </si>
  <si>
    <t>DH-039</t>
  </si>
  <si>
    <t>Phone: list, register form and panels are usable</t>
  </si>
  <si>
    <t>The SAO has activated a semester first (SAO: Setup and records &gt; Academic years &gt; Add semester, then Set as active). A fresh seed has no semester. Sign in as Department Head 940001 (College of Computer Studies, home of PSITS-CCS). The password is given to you separately. Use a phone.</t>
  </si>
  <si>
    <t xml:space="preserve">1. Open Organizations on the phone.
2. Scroll the list. Rows appear as cards.
3. Tap Register an organization and scroll the whole form.
4. Choose a PDF in one box.
5. Tap Cancel.
6. Tap View checklist on PSITS-CCS.</t>
  </si>
  <si>
    <t>Cards show name, status and counts. The form scrolls inside its window, the buttons Cancel and Submit for review stay reachable, and file boxes work. The side panel fits the screen. Nothing is cut off and the page does not scroll sideways.</t>
  </si>
  <si>
    <t>DH-040</t>
  </si>
  <si>
    <t>Approvals</t>
  </si>
  <si>
    <t>Approvals page layout and filters</t>
  </si>
  <si>
    <t xml:space="preserve">1. Select Approvals in the menu.
2. Read the two buttons Pending (n) and All History.
3. Read the filter row: Search requests, Request type, Organization, Requested from, Requested to, Sort order.
4. Read the line under the filters.
5. Look at one request row.</t>
  </si>
  <si>
    <t>Pending (n) is selected. The count line reads N matching requests and M awaiting action. Buttons Reset and Export CSV are there. Each row shows the title, a type tag (Event, Budget, Election, Financial Report), the organization name, a status badge, who requested it and when, a small progress stepper, a line saying whose turn it is (for the head it should read as waiting for the Department Head), and the button Review.</t>
  </si>
  <si>
    <t>VERIFY: the exact stage wording.</t>
  </si>
  <si>
    <t>DH-041</t>
  </si>
  <si>
    <t>Approve an event proposal</t>
  </si>
  <si>
    <t>A semester is active. Admin 900001 (PSITS-CCS) has proposed an event with dates inside the semester, so it waits for the Department Head. Sign in as Department Head 940001 (College of Computer Studies, home of PSITS-CCS). The password is given to you separately.</t>
  </si>
  <si>
    <t xml:space="preserve">1. Open Approvals.
2. Select Review on the event row.
3. Read the panel: progress steps, next step, details and History.
4. Select Approve in the panel.
5. In the window Approve request, type an optional remark and select Approve.
6. Look at the panel again.</t>
  </si>
  <si>
    <t>A window titled Approve with the event title opens, with Remarks (optional). After Approve a message says: Request approved. The panel now reads Approved (or a longer sentence about the SAO, see the next case), the buttons Approve and Reject are gone, and a link Open event shows. History shows Approved by with your name. The Admin gets a notice about the decision.</t>
  </si>
  <si>
    <t>DH-042</t>
  </si>
  <si>
    <t>Event that needs SAO files: what the head sees after approving</t>
  </si>
  <si>
    <t>A semester is active. Admin 900001 (PSITS-CCS) has proposed an event with dates inside the semester, so it waits for the Department Head. The event needs SAO files (an on-campus or other venue type that the SAO requires, with an active semester).</t>
  </si>
  <si>
    <t xml:space="preserve">1. Open Approvals and select Review on the event.
2. Select Approve and confirm.
3. Read the sentence at the top of the panel.
4. Open All History and find the same request.
5. Look for any Approve or Reject button.</t>
  </si>
  <si>
    <t>The panel says: Approved. Waiting for the organization to submit the SAO event files (before files are uploaded) or Approved. Now with the SAO for requirements review (after). The head has no button to do the SAO step. The head approves first, then the SAO decides.</t>
  </si>
  <si>
    <t>VERIFY: whether your event needs SAO files depends on its venue type.</t>
  </si>
  <si>
    <t>DH-043</t>
  </si>
  <si>
    <t>Rejecting needs a reason</t>
  </si>
  <si>
    <t xml:space="preserve">1. Open Approvals and select Review on a pending request.
2. Select Reject.
3. Look at the Reject button in the window while Remarks is empty.
4. Type Budget not yet finalized. in Remarks.
5. Select Reject.
6. Read the panel.</t>
  </si>
  <si>
    <t>The window title starts with Reject and the label says Remarks (required). With Remarks empty the Reject button is greyed out and cannot be selected. After typing, Reject works. A message says: Request rejected. The panel says: Rejected. Returned to the organization for changes, and History shows your remarks. The Admin is told.</t>
  </si>
  <si>
    <t>DH-044</t>
  </si>
  <si>
    <t>Approve a budget</t>
  </si>
  <si>
    <t>The SAO has activated a semester first (SAO: Setup and records &gt; Academic years &gt; Add semester, then Set as active). A fresh seed has no semester. Admin 900001 has proposed a budget (Finance &gt; Budgets, Propose budget) for PSITS-CCS. Sign in as Department Head 940001 (College of Computer Studies, home of PSITS-CCS). The password is given to you separately.</t>
  </si>
  <si>
    <t xml:space="preserve">1. Open Approvals.
2. Set Request type to Budget.
3. Select Review on the budget row.
4. Select Approve and confirm.
5. Select Open budget in the panel.</t>
  </si>
  <si>
    <t>The request becomes Approved and Open budget leads to Finance &gt; Budgets with the budget open. On the default setup this is the last step, so the budget shows Approved.</t>
  </si>
  <si>
    <t>VERIFY: if the SAO second step is switched on, the budget says Waiting for SAO approval instead.</t>
  </si>
  <si>
    <t>DH-045</t>
  </si>
  <si>
    <t>Approve a financial report: it then goes to the SAO</t>
  </si>
  <si>
    <t>Admin 900001 has generated and submitted a financial report (Finance &gt; Financial reports). Sign in as Department Head 940001 (College of Computer Studies, home of PSITS-CCS). The password is given to you separately.</t>
  </si>
  <si>
    <t xml:space="preserve">1. Open Approvals.
2. Set Request type to Financial Report.
3. Select Review on the report row.
4. Look at the panel: Download submitted report, Required signatories, Supporting documents.
5. Select Approve and confirm.
6. Read the sentence at the top of the panel.</t>
  </si>
  <si>
    <t>The panel offers Download submitted report and lists the signatories and documents. After Approve the report moves on to the SAO (first stage only: the head cannot give final approval). The panel shows the report as Approved by you and Open report leads to Finance &gt; Financial reports.</t>
  </si>
  <si>
    <t>VERIFY: the exact sentence after approval for a report.</t>
  </si>
  <si>
    <t>DH-046</t>
  </si>
  <si>
    <t>Approve an election proposal</t>
  </si>
  <si>
    <t>The SAO has activated a semester first (SAO: Setup and records &gt; Academic years &gt; Add semester, then Set as active). A fresh seed has no semester. Admin 900001 has proposed an election (it waits for the Department Head). Sign in as Department Head 940001 (College of Computer Studies, home of PSITS-CCS). The password is given to you separately.</t>
  </si>
  <si>
    <t xml:space="preserve">1. Open Approvals.
2. Set Request type to Election.
3. Select Review on the election row.
4. Select Approve and confirm.
5. Select Open election.</t>
  </si>
  <si>
    <t>The request becomes Approved. Open election leads to Election results (the head cannot open the election workspace). The Admin can now build the ballot.</t>
  </si>
  <si>
    <t>VERIFY: Election results may say results are not available yet because voting has not started.</t>
  </si>
  <si>
    <t>DH-047</t>
  </si>
  <si>
    <t>Head cannot decide a request that waits for the SAO</t>
  </si>
  <si>
    <t>A request the head already approved that now waits for the SAO (for example a financial report or an event with SAO files). Sign in as Department Head 940001 (College of Computer Studies, home of PSITS-CCS). The password is given to you separately.</t>
  </si>
  <si>
    <t xml:space="preserve">1. Open Approvals.
2. Select All History.
3. Find the request you approved earlier.
4. Select Details.
5. Look for Approve and Reject buttons.</t>
  </si>
  <si>
    <t>The button on the row says Details, not Review. The panel shows the waiting stage (Waiting for SAO approval) and has NO Approve or Reject. The head cannot approve the SAO step. A request the head sent cannot be decided by the head either.</t>
  </si>
  <si>
    <t>DH-048</t>
  </si>
  <si>
    <t>Search requests by requester name or school ID</t>
  </si>
  <si>
    <t xml:space="preserve">1. Open Approvals.
2. Type the first name of the Admin who sent the request in Search requests.
3. Wait a moment and read the list.
4. Type a word that matches nobody, for example zzzz.
5. Select Clear filters in the empty message.</t>
  </si>
  <si>
    <t>The matching request stays. After zzzz the list says: No requests match these filters, with Try a different type, date range or search. Clear filters brings the rows back. The search looks at requester name, school ID, remarks and type, NOT at the request title.</t>
  </si>
  <si>
    <t>VERIFY: typing a title word may show nothing.</t>
  </si>
  <si>
    <t>DH-049</t>
  </si>
  <si>
    <t>Filter by request type</t>
  </si>
  <si>
    <t>A semester is active. Admin 900001 (PSITS-CCS) has proposed an event with dates inside the semester, so it waits for the Department Head. At least one pending event and one pending budget or report.</t>
  </si>
  <si>
    <t xml:space="preserve">1. Open Approvals.
2. Open Request type.
3. Read the options.
4. Choose Event.
5. Choose Budget.
6. Choose All request types.</t>
  </si>
  <si>
    <t>Options: All request types, Event, Budget, Election, Announcement, Payment, Financial Report. Each choice shows only that type and the count line updates. If a type has no pending rows the message No requests match these filters shows.</t>
  </si>
  <si>
    <t>DH-050</t>
  </si>
  <si>
    <t>Organization filter lists only organizations of the head college</t>
  </si>
  <si>
    <t xml:space="preserve">1. Open Approvals.
2. Open the Organization filter.
3. Read every option.
4. Choose PSITS-CCS (or the full name of it).
5. Choose All organizations.</t>
  </si>
  <si>
    <t>The options are All organizations and only organizations of the College of Computer Studies (PSITS-CCS and any the head registered). JPIA-CBE, FES-CTE, NSC-CHS and EIG-COE do NOT appear. Choosing one organization narrows the rows and the count.</t>
  </si>
  <si>
    <t>DH-051</t>
  </si>
  <si>
    <t>Date filters, including a range that ends before it starts</t>
  </si>
  <si>
    <t xml:space="preserve">1. Open Approvals.
2. Set Requested from to a date in the past and Requested to to today.
3. Read the list.
4. Set Requested to to a date earlier than Requested from.
5. Read the page.
6. Select Reset.</t>
  </si>
  <si>
    <t>A valid range shows the requests sent in that range. An end date before the start date does not show a list; the page shows an error message such as Failed to load approval requests.</t>
  </si>
  <si>
    <t>VERIFY: exact wording for a bad range. Reset clears every filter.</t>
  </si>
  <si>
    <t>DH-052</t>
  </si>
  <si>
    <t>All History shows decided requests and their remarks</t>
  </si>
  <si>
    <t>Sign in as Department Head 940001 (College of Computer Studies, home of PSITS-CCS). The password is given to you separately. The head has approved or rejected at least one request.</t>
  </si>
  <si>
    <t xml:space="preserve">1. Open Approvals.
2. Select All History.
3. Find a request you rejected.
4. Read the remarks line under it.
5. Select Pending (n) to go back.</t>
  </si>
  <si>
    <t>All History lists pending and decided requests with badges Approved or Rejected. A rejected row shows Remarks: and your reason. Pending (n) still shows the count of waiting requests.</t>
  </si>
  <si>
    <t>DH-053</t>
  </si>
  <si>
    <t>Empty states: Nothing to review and No approval history yet</t>
  </si>
  <si>
    <t>Sign in as a head whose college has no pending requests and no decided requests. VERIFY: reachable on 940003, 940004 or 940005 on a fresh seed if their organizations sent nothing; otherwise decide every pending request first.</t>
  </si>
  <si>
    <t xml:space="preserve">1. Open Approvals.
2. Read the message under Pending.
3. Select All History.
4. Read the message.</t>
  </si>
  <si>
    <t>Pending says: Nothing to review. Events, budgets, elections and financial reports from the organizations in your college appear here for your decision. The organization Admin sends them. All History with no decisions says: No approval history yet. Requests you approve or reject are listed here afterwards. Export CSV is greyed out.</t>
  </si>
  <si>
    <t>DH-054</t>
  </si>
  <si>
    <t>Export CSV downloads the filtered list</t>
  </si>
  <si>
    <t>Sign in as Department Head 940001 (College of Computer Studies, home of PSITS-CCS). The password is given to you separately. At least one request in the list.</t>
  </si>
  <si>
    <t xml:space="preserve">1. Open Approvals.
2. Choose a filter, for example Request type Event.
3. Select Export CSV.
4. Open the downloaded file.</t>
  </si>
  <si>
    <t>A file named approval-register-YYYY-MM-DD.csv (today date) downloads. It has a header row (Request ID, Organization, Type, Title, Status, Requester ID, Requester and more) and only the rows in the filtered list. When the count line shows 0 matching requests the Export CSV button is greyed out.</t>
  </si>
  <si>
    <t>DH-055</t>
  </si>
  <si>
    <t>A request that does not exist opens a safe message</t>
  </si>
  <si>
    <t xml:space="preserve">1. Open Approvals.
2. In the address bar add ?record=999999 at the end and press Enter.
3. Read the panel.
4. Select the close button.</t>
  </si>
  <si>
    <t>A panel opens with: This request is not available to you, and Only the Department Head or Admin it was sent to, and the organization that sent it, can open it. It may also have been removed. No technical error shows.</t>
  </si>
  <si>
    <t>DH-056</t>
  </si>
  <si>
    <t>A request of another college cannot be opened</t>
  </si>
  <si>
    <t>A semester is active. Admin 900001 (PSITS-CCS) has proposed an event with dates inside the semester, so it waits for the Department Head. Sign in as 940002 (Business). Have the id of a CCS request from 940001 (the panel shows Request #id).</t>
  </si>
  <si>
    <t xml:space="preserve">1. As 940001 open a request in Approvals and note the number after Request #.
2. Sign out and sign in as 940002.
3. Open Approvals.
4. Add ?record= and that number to the address and press Enter.
5. Read the panel.</t>
  </si>
  <si>
    <t>The panel says: This request is not available to you. The CCS request is not in the 940002 list either. The head of another college cannot read or decide it.</t>
  </si>
  <si>
    <t>DH-057</t>
  </si>
  <si>
    <t>Two people decide the same request: the second one is refused</t>
  </si>
  <si>
    <t>A semester is active. Admin 900001 (PSITS-CCS) has proposed an event with dates inside the semester, so it waits for the Department Head. Sign in as Department Head 940001 (College of Computer Studies, home of PSITS-CCS). The password is given to you separately. Open the same account in two browser tabs.</t>
  </si>
  <si>
    <t xml:space="preserve">1. In tab 1 open Approvals and Review the request.
2. In tab 2 open Approvals and Review the same request.
3. In tab 1 Approve it and confirm.
4. In tab 2 select Approve and confirm.</t>
  </si>
  <si>
    <t>The second try is refused and the request is not changed twice. An error message shows such as Failed to submit review. Please try again. After a refresh the request shows Approved.</t>
  </si>
  <si>
    <t>VERIFY: the exact wording (the server says: This request has already been reviewed.).</t>
  </si>
  <si>
    <t>DH-058</t>
  </si>
  <si>
    <t>Phone: review and approve on a small screen</t>
  </si>
  <si>
    <t>A semester is active. Admin 900001 (PSITS-CCS) has proposed an event with dates inside the semester, so it waits for the Department Head. Sign in as Department Head 940001 (College of Computer Studies, home of PSITS-CCS). The password is given to you separately. Use a phone.</t>
  </si>
  <si>
    <t xml:space="preserve">1. Open Approvals on the phone.
2. Scroll the filter area.
3. Tap Review on a request.
4. Scroll the panel to the buttons.
5. Tap Approve and then Approve in the window.</t>
  </si>
  <si>
    <t>Filters stack in one column. The panel and the decision window scroll and the buttons Reject and Approve can be reached and tapped. After approving the message Request approved. shows. No sideways scrolling.</t>
  </si>
  <si>
    <t>DH-059</t>
  </si>
  <si>
    <t>Top bar &gt; Notifications</t>
  </si>
  <si>
    <t>A notification about an event approval opens that approval</t>
  </si>
  <si>
    <t xml:space="preserve">1. Select the bell in the top bar.
2. Find the notice about the event you were asked to approve.
3. Select the notice.
4. Read the panel that opens.</t>
  </si>
  <si>
    <t>Approvals opens with the panel for that exact request (Request #id) and the Approve button is there. Two taps from the home page.</t>
  </si>
  <si>
    <t>DH-060</t>
  </si>
  <si>
    <t>A notification about a financial report opens that report approval</t>
  </si>
  <si>
    <t>Admin 900001 has submitted a financial report. Sign in as Department Head 940001 (College of Computer Studies, home of PSITS-CCS). The password is given to you separately.</t>
  </si>
  <si>
    <t xml:space="preserve">1. Select the bell.
2. Select the notice that names the report.
3. Read the panel.</t>
  </si>
  <si>
    <t>Approvals opens with that report open and the button Download submitted report is visible.</t>
  </si>
  <si>
    <t>DH-061</t>
  </si>
  <si>
    <t>A notification about an organization opens that organization</t>
  </si>
  <si>
    <t>The SAO has activated a semester first (SAO: Setup and records &gt; Academic years &gt; Add semester, then Set as active). A fresh seed has no semester. The SAO has returned a registration of this college.</t>
  </si>
  <si>
    <t xml:space="preserve">1. Select the bell.
2. Select the notice Organization registration returned.
3. Read the panel.</t>
  </si>
  <si>
    <t>Organizations opens with the side panel of that organization. It says Returned: edit and resubmit and has the button Edit and resubmit.</t>
  </si>
  <si>
    <t>DH-062</t>
  </si>
  <si>
    <t>Mark all as read and the empty message</t>
  </si>
  <si>
    <t>Sign in as Department Head 940001 (College of Computer Studies, home of PSITS-CCS). The password is given to you separately. At least one unread notification. For the empty message, use an account with none.</t>
  </si>
  <si>
    <t xml:space="preserve">1. Select the bell and read the number badge.
2. Select Mark all as read.
3. Look at the badge and the notices.
4. On an account with no notices, select the bell.</t>
  </si>
  <si>
    <t>The badge number disappears and the unread blue marks go. An account with no notices shows a bell icon and: No notifications yet.</t>
  </si>
  <si>
    <t>DH-063</t>
  </si>
  <si>
    <t>College view (read only) &gt; Finance &gt; Budgets</t>
  </si>
  <si>
    <t>Budgets is view only for the head</t>
  </si>
  <si>
    <t xml:space="preserve">1. Select Finance in the menu. It opens Budgets.
2. Read the grey note at the top.
3. Look at the top right of the page for action buttons.
4. Look for the Organization drop down.
5. Open one budget if the list has one.</t>
  </si>
  <si>
    <t>The note says: View only. You can review and export these records; the organization admin records and changes them. There is NO Propose budget, Edit, Delete or Generate advice button. The Organization drop down starts on All organizations. The budget opens for reading only.</t>
  </si>
  <si>
    <t>DH-064</t>
  </si>
  <si>
    <t>Organization drop down narrows Finance to one organization of the college</t>
  </si>
  <si>
    <t xml:space="preserve">1. Open Finance &gt; Budgets.
2. Open the Organization drop down and read the options.
3. Choose PSITS-CCS.
4. Note the rows and the Ledger net balance.
5. Choose All organizations.</t>
  </si>
  <si>
    <t>The options are All organizations and only organizations of the head college. Choosing one organization shows only its budgets and its net balance. The note Ledger net balance updates.</t>
  </si>
  <si>
    <t>DH-065</t>
  </si>
  <si>
    <t>No budgets: the empty message tells who can add them</t>
  </si>
  <si>
    <t>A head whose college has no budgets. VERIFY: for example 940004 or 940005 on a fresh seed.</t>
  </si>
  <si>
    <t xml:space="preserve">1. Sign in as that head.
2. Open Finance &gt; Budgets.
3. Read the message.</t>
  </si>
  <si>
    <t>The page says: No budgets to show yet. Only the organization Admin proposes budgets. They appear here, with their approval stage, once the Admin proposes one. There is no button to add one.</t>
  </si>
  <si>
    <t>DH-066</t>
  </si>
  <si>
    <t>College view (read only) &gt; Finance &gt; Ledger</t>
  </si>
  <si>
    <t>Ledger shows income and expenses without edit buttons</t>
  </si>
  <si>
    <t xml:space="preserve">1. Open Finance &gt; Ledger.
2. Read the four tiles: Income, Expenses, Net balance, Ledger entries.
3. Read the table columns.
4. Look for Record transaction, Edit transaction and Delete transaction.</t>
  </si>
  <si>
    <t>The tiles show money amounts. The columns include Date, Description, Source, Payer / Recorder, Category, Type, Amount. There is NO Record transaction, Edit transaction or Delete transaction button.</t>
  </si>
  <si>
    <t>DH-067</t>
  </si>
  <si>
    <t>Ledger search and filters, and the empty results message</t>
  </si>
  <si>
    <t xml:space="preserve">1. Open Finance &gt; Ledger.
2. Type a word in Search transactions and press Enter.
3. Open Filter by transaction type and choose Income.
4. Select Apply.
5. Type a word that matches nothing and press Enter.
6. Select Clear filters.</t>
  </si>
  <si>
    <t>Search and the type filter narrow the rows and the tiles. A search with no match says: No matching transactions, with Try a different search or clear the filters. Clear filters brings the list back. Other filters: Filter by academic semester, Filter by event, Filter from date, Filter to date.</t>
  </si>
  <si>
    <t>DH-068</t>
  </si>
  <si>
    <t>No transactions: the empty message</t>
  </si>
  <si>
    <t>A head whose college has no ledger entries. VERIFY: reachable on a fresh seed only for colleges without seeded transactions.</t>
  </si>
  <si>
    <t xml:space="preserve">1. Sign in as that head.
2. Open Finance &gt; Ledger.
3. Read the message.</t>
  </si>
  <si>
    <t>The page says: No transactions to show yet. Only the organization Admin records transactions. Verified collections, cash advances, paid charges and orders post here by themselves. No add button.</t>
  </si>
  <si>
    <t>DH-069</t>
  </si>
  <si>
    <t>College view (read only) &gt; Finance &gt; Financial reports</t>
  </si>
  <si>
    <t>Financial reports: review saved reports, no way to create one</t>
  </si>
  <si>
    <t>Admin 900001 has saved at least one financial report. Sign in as Department Head 940001 (College of Computer Studies, home of PSITS-CCS). The password is given to you separately.</t>
  </si>
  <si>
    <t xml:space="preserve">1. Open Finance &gt; Financial reports.
2. Look for a section that generates a report.
3. Read the list Financial reports and its stage text.
4. Use Search report history and Filter reports by status.
5. Select Export Excel on Full Transaction Log.</t>
  </si>
  <si>
    <t>There is NO report generator. The list shows each saved report with its approval stage (waiting for the Department Head, the SAO, approved or returned). The filters narrow the list. Export Excel downloads a file. The two cards Full Transaction Log and Category Breakdown offer Export Excel and Print / Save PDF.</t>
  </si>
  <si>
    <t>DH-070</t>
  </si>
  <si>
    <t>No saved reports: the empty message</t>
  </si>
  <si>
    <t>A head whose college has no saved reports. VERIFY: fresh seed.</t>
  </si>
  <si>
    <t xml:space="preserve">1. Sign in as that head.
2. Open Finance &gt; Financial reports.
3. Scroll to the Financial reports box.
4. Read the message.</t>
  </si>
  <si>
    <t>The box says: No saved reports to show yet. Only the organization Admin prepares financial reports. They appear here, with their approval stage, once saved.</t>
  </si>
  <si>
    <t>DH-071</t>
  </si>
  <si>
    <t>College view (read only) &gt; Finance &gt; Forecast</t>
  </si>
  <si>
    <t>Forecast: read only and the empty message</t>
  </si>
  <si>
    <t xml:space="preserve">1. Open Finance &gt; Forecast.
2. Look at the top right for a Generate forecast button.
3. Read the list or the empty message.</t>
  </si>
  <si>
    <t>There is NO Generate forecast and no delete button. With no forecast the page says: No forecasts to show yet. Only the organization Admin generates forecasts. They appear here once one is generated.</t>
  </si>
  <si>
    <t>DH-072</t>
  </si>
  <si>
    <t>College view (read only) &gt; Finance</t>
  </si>
  <si>
    <t>Finance pages that belong to the Admin or the student are closed to the head</t>
  </si>
  <si>
    <t xml:space="preserve">1. Type /dashboard/finance/collections in the address bar and press Enter.
2. Type /dashboard/finance/student-accounts and press Enter.
3. Type /dashboard/finance/personal-receipts and press Enter.
4. Type /dashboard/finance/statement-of-account and press Enter.</t>
  </si>
  <si>
    <t>Each address sends you back to the Department Head Dashboard. No page for collections, student accounts, receipts or statement of account is shown.</t>
  </si>
  <si>
    <t>DH-073</t>
  </si>
  <si>
    <t>Finance of another college is not visible</t>
  </si>
  <si>
    <t>Sign in as 940002 (College of Business). PSITS-CCS has seeded finance data.</t>
  </si>
  <si>
    <t xml:space="preserve">1. Open Finance &gt; Budgets.
2. Open the Organization drop down.
3. Look for PSITS-CCS.
4. Open Finance &gt; Ledger and read the rows.</t>
  </si>
  <si>
    <t>Only Business college organizations (for example JPIA-CBE) are in the drop down. Budgets and ledger rows of PSITS-CCS are not shown.</t>
  </si>
  <si>
    <t>DH-074</t>
  </si>
  <si>
    <t>College view (read only) &gt; Calendar</t>
  </si>
  <si>
    <t>Calendar shows the events of the college and has no create button</t>
  </si>
  <si>
    <t xml:space="preserve">1. Select Calendar in the menu.
2. Read the four tiles: Total Events, Upcoming, Completed, Total Tasks.
3. Look at the top right for a New event button.
4. Select Calendar view in the List and Calendar switch.
5. Select List view again.</t>
  </si>
  <si>
    <t>Tiles show numbers. There is NO New event button and no Edit event or Delete event in the row menu. The switch changes between List and Calendar. The list columns include Event, Organizer, Schedule, Venue, Attendance, Tasks, Status.</t>
  </si>
  <si>
    <t>DH-075</t>
  </si>
  <si>
    <t>Calendar search, filters and empty messages</t>
  </si>
  <si>
    <t xml:space="preserve">1. Open Calendar and make sure List is selected.
2. Type a word in Search events.
3. Change Status to Approved.
4. Change Sort by to Title.
5. Type a word that matches nothing.
6. Select Clear filters.</t>
  </si>
  <si>
    <t>Search, Event date, Status and Sort by narrow the list. No match says: No events match these filters, with Change the search, date or status, or clear the filters to see every event in this period. A college with no events says: No events from your college yet, with the button Open approvals.</t>
  </si>
  <si>
    <t>DH-076</t>
  </si>
  <si>
    <t>Open an event for reading only</t>
  </si>
  <si>
    <t>Sign in as Department Head 940001 (College of Computer Studies, home of PSITS-CCS). The password is given to you separately. At least one event in the list.</t>
  </si>
  <si>
    <t xml:space="preserve">1. Open Calendar.
2. Select View details (phone) or open the row menu and select View event (laptop).
3. Read the event details.
4. Look for Edit, Approve, Check in and Cancel buttons.
5. Select Close event details.</t>
  </si>
  <si>
    <t>The event details open for reading: progress stage, dates, venue, tasks and attendance numbers. There is NO Edit, Cancel, Delete or check-in control. Close event details shuts it.</t>
  </si>
  <si>
    <t>VERIFY: whether the head can also see SAO event files in this view.</t>
  </si>
  <si>
    <t>DH-077</t>
  </si>
  <si>
    <t>Calendar shows only events of the head college</t>
  </si>
  <si>
    <t>Sign in as 940002 (Business). PSITS-CCS has seeded events.</t>
  </si>
  <si>
    <t xml:space="preserve">1. Open Calendar.
2. Read the event titles and the Organizer column.
3. Look for events of PSITS-CCS.</t>
  </si>
  <si>
    <t>Only events of Business college organizations show (or the empty message). Events of PSITS-CCS are not shown.</t>
  </si>
  <si>
    <t>DH-078</t>
  </si>
  <si>
    <t>College view (read only) &gt; Election results</t>
  </si>
  <si>
    <t>Election results are read only and the head cannot vote</t>
  </si>
  <si>
    <t xml:space="preserve">1. Select Election results in the menu.
2. Read the page.
3. If more than one election is listed, choose another under Available results.
4. Look for a Vote or Cast vote button.</t>
  </si>
  <si>
    <t>You see the results of an election of your college: Official final results or Live vote totals, with Ballots, Selections, Positions and Candidates tiles. If none is available the page says: Election results are not available yet. There is no voting button.</t>
  </si>
  <si>
    <t>VERIFY: with no election at all, what the page shows.</t>
  </si>
  <si>
    <t>DH-079</t>
  </si>
  <si>
    <t>Voting and the election workspace are refused to the head</t>
  </si>
  <si>
    <t xml:space="preserve">1. Type /dashboard/elections/cast-vote in the address bar and press Enter.
2. Type /dashboard/elections and press Enter.
3. Type /dashboard/elections/manage-elections and press Enter.
4. Type /dashboard/elections/manage-candidates and press Enter.</t>
  </si>
  <si>
    <t>The first two addresses end on Election results. The last two send you back to the Department Head Dashboard. At no point do you see a ballot, Vote button or candidate editor.</t>
  </si>
  <si>
    <t>DH-080</t>
  </si>
  <si>
    <t>College view (read only) &gt; Announcements</t>
  </si>
  <si>
    <t>Announcements feed: read, search and filter</t>
  </si>
  <si>
    <t>Sign in as Department Head 940001 (College of Computer Studies, home of PSITS-CCS). The password is given to you separately. At least one published announcement of an organization of this college or of the SAO.</t>
  </si>
  <si>
    <t xml:space="preserve">1. Select Announcements in the menu.
2. Type a word in Search announcements.
3. Open Announcement category and choose one category.
4. Choose All categories.
5. Type a word that matches nothing.
6. Select Clear filters.</t>
  </si>
  <si>
    <t>Announcements show as cards. Search and category narrow the list. No match says: No announcements match, with Try a different search or category. With none at all the page says: No announcements yet. Your officers post them here. There is no button to write an announcement.</t>
  </si>
  <si>
    <t>DH-081</t>
  </si>
  <si>
    <t>Writing announcements is closed to the head</t>
  </si>
  <si>
    <t xml:space="preserve">1. Type /dashboard/announcements/manage-announcements in the address bar and press Enter.
2. Type /dashboard/announcements/create-announcement and press Enter.
3. Type /dashboard/approval-requests/new and press Enter.</t>
  </si>
  <si>
    <t>Each address sends you back to the Department Head Dashboard. The head cannot create or manage announcements and cannot send a new request.</t>
  </si>
  <si>
    <t>DH-082</t>
  </si>
  <si>
    <t>Access limits</t>
  </si>
  <si>
    <t>Store, shopping and orders are refused to the head</t>
  </si>
  <si>
    <t xml:space="preserve">1. Look at the top bar for a shopping cart.
2. Type /dashboard/merchandise/order-merchandise in the address bar and press Enter.
3. Type /dashboard/merchandise/my-orders and press Enter.
4. Type /dashboard/merchandise/manage-orders and press Enter.
5. Type /dashboard/merchandise/manage-inventory and press Enter.</t>
  </si>
  <si>
    <t>There is no cart in the top bar. Every address sends you back to the Department Head Dashboard. The head cannot buy or manage merchandise.</t>
  </si>
  <si>
    <t>DH-083</t>
  </si>
  <si>
    <t>Admin, officer and task pages are refused to the head</t>
  </si>
  <si>
    <t xml:space="preserve">1. Type /dashboard/admin and press Enter.
2. Type /dashboard/admin/users and press Enter.
3. Type /dashboard/admin/positions and press Enter.
4. Type /dashboard/events/manage-events and press Enter.
5. Type /dashboard/tasks/task-board and press Enter.</t>
  </si>
  <si>
    <t>Every address sends you back to the Department Head Dashboard. The head cannot manage people, assign roles, edit events or use the task board.</t>
  </si>
  <si>
    <t>DH-084</t>
  </si>
  <si>
    <t>SAO pages are refused: no creating colleges, no approving own SAO step</t>
  </si>
  <si>
    <t xml:space="preserve">1. Type /dashboard/super-admin and press Enter.
2. Type /dashboard/super-admin/colleges and press Enter.
3. Type /dashboard/super-admin/organizations and press Enter.
4. Type /dashboard/super-admin/admins and press Enter.
5. Type /dashboard/super-admin/academic-years and press Enter.</t>
  </si>
  <si>
    <t>Every address sends you back to the Department Head Dashboard. The head cannot add colleges or Department Heads, review registrations, create administrators or open a semester. Only the SAO can.</t>
  </si>
  <si>
    <t>DH-085</t>
  </si>
  <si>
    <t>Records pages (compliance, venues, grievances, clearances, audit log) are refused</t>
  </si>
  <si>
    <t xml:space="preserve">1. Type /dashboard/compliance and press Enter.
2. Type /dashboard/venues and press Enter.
3. Type /dashboard/grievances and press Enter.
4. Type /dashboard/clearances and press Enter.
5. Type /dashboard/audit-logs and press Enter.</t>
  </si>
  <si>
    <t>Every address sends you back to the Department Head Dashboard.</t>
  </si>
  <si>
    <t>DH-086</t>
  </si>
  <si>
    <t>Unknown address, old Approvals address and signed out visit</t>
  </si>
  <si>
    <t xml:space="preserve">1. Type /dashboard/nothing-here and press Enter.
2. Type /dashboard/approvals and press Enter.
3. Sign out.
4. Type /dashboard/department-head/approvals in the address bar and press Enter.</t>
  </si>
  <si>
    <t>The unknown address sends you to the Dashboard while signed in. /dashboard/approvals sends you to /dashboard/department-head/approvals. After signing out, the Approvals address sends you to the Sign in page. No data shows.</t>
  </si>
  <si>
    <t>DH-087</t>
  </si>
  <si>
    <t>Update the mobile number and save</t>
  </si>
  <si>
    <t xml:space="preserve">1. Select Profile at the bottom of the menu.
2. Read the box Personal information.
3. Type a mobile number in Mobile number (optional).
4. Select Save profile.
5. Refresh the page.</t>
  </si>
  <si>
    <t>Save profile is greyed out until you change something. After saving a message says: Profile changes saved. The number is still there after a refresh. Discard changes undoes edits you have not saved.</t>
  </si>
  <si>
    <t>DH-088</t>
  </si>
  <si>
    <t>Profile needs a first name, last name and email</t>
  </si>
  <si>
    <t xml:space="preserve">1. Open Profile.
2. Clear First name.
3. Select Save profile.
4. Read the message.
5. Select Discard changes.</t>
  </si>
  <si>
    <t>Nothing is saved. The red message says: First name, last name, and email are required. Discard changes restores the old name.</t>
  </si>
  <si>
    <t>DH-089</t>
  </si>
  <si>
    <t>Password change: empty, short and mismatching entries are refused</t>
  </si>
  <si>
    <t>Sign in as Department Head 940001 (College of Computer Studies, home of PSITS-CCS). The password is given to you separately. Do not finish a real password change on a shared account unless the team agreed.</t>
  </si>
  <si>
    <t xml:space="preserve">1. Open Profile and find Password &amp; security.
2. Select the save button with all three boxes empty.
3. Fill the three boxes with a new password of only 5 characters and select save.
4. Fill a new password of 8 or more characters and a different Confirm new password and select save.
5. Read each message.</t>
  </si>
  <si>
    <t>Messages in order: Current password, new password, and confirmation are required. New password must be at least 8 characters. New passwords do not match. No password is changed.</t>
  </si>
  <si>
    <t>DH-090</t>
  </si>
  <si>
    <t>Study objectives page opens for the head</t>
  </si>
  <si>
    <t xml:space="preserve">1. Select Study objectives at the bottom of the menu.
2. Read the page.
3. Select Dashboard.</t>
  </si>
  <si>
    <t>The page opens without an error and shows the study objectives with evidence for the head college.</t>
  </si>
  <si>
    <t>VERIFY: what the head sees on this page (it is scoped to the head college).</t>
  </si>
  <si>
    <t>DH-091</t>
  </si>
  <si>
    <t>Study objectives evidence links open pages the head may see</t>
  </si>
  <si>
    <t>Sign in as Department Head 940001. The password is given to you separately. Some activity exists in the college.</t>
  </si>
  <si>
    <t xml:space="preserve">1. Scroll to the bottom of the left menu and select Study objectives.
2. Select a tile with an arrow, for example "Events completed" or "Transactions recorded in the ledger".
3. Go back and select "Expense forecasts generated (OLS regression)" or "Votes cast".
4. Go back and select a tile such as "Orders placed" or "Check-ins recorded manually".
5. Write down which tiles are links and the page each one opened.</t>
  </si>
  <si>
    <t>Linked tiles open pages of the college view: Calendar, Budgets, Ledger, Forecast, Election results. They never end in a redirect to the Dashboard. Tiles about orders, check-ins, tasks and announcements have no arrow, because the head has no page for them.</t>
  </si>
  <si>
    <t>VERIFY: the exact linked tiles (from the server route list: Forecast, Budgets, Ledger, Calendar, Elections and Election results).</t>
  </si>
  <si>
    <t>DH-092</t>
  </si>
  <si>
    <t>A forecast that the Admin generated is shown read only to the head</t>
  </si>
  <si>
    <t>Run after ADM-147</t>
  </si>
  <si>
    <t>Sign in as Department Head 940001. The password is given to you separately. Admin 900001 of PSITS-CCS has generated a forecast (ADM-147), so the page is not empty.</t>
  </si>
  <si>
    <t xml:space="preserve">1. Open Finance &gt; Forecast under College view.
2. Read the forecast card: its title, Income, Balance, Safe spend, Risk and the engine badge.
3. Look at the top of the page for "Generate forecast" and at the card for a delete button.
4. Use the Organization drop down to choose PSITS-CCS and then All organizations.</t>
  </si>
  <si>
    <t>The card "Forecast for &lt;period&gt;" shows the figures, the risk and the chart. There is no "Generate forecast" button and no delete button anywhere, only the Admin has them. The Organization drop down narrows the page to one organization of the college (VERIFY that it also narrows the forecast cards). The "No forecasts to show yet" message does not show while a forecast exists.</t>
  </si>
  <si>
    <t>ADM-001</t>
  </si>
  <si>
    <t>Sign in &gt; Dashboard</t>
  </si>
  <si>
    <t>Admin signs in and lands on the Dashboard</t>
  </si>
  <si>
    <t>A seeded copy is running and you have its address. You are signed out. Use Admin 900001 and the password from the tester sheet.</t>
  </si>
  <si>
    <t xml:space="preserve">1. Open the HIUSA address you were given.
2. Type 900001 in the box 'School ID / ID Number'.
3. Type the password in the box 'Password'.
4. Select 'Sign in'.
5. Look at the page title and the left menu.</t>
  </si>
  <si>
    <t>You land on the Dashboard (the address ends in /dashboard/admin). The menu shows your role as Organization Admin. The page shows either a 'Getting started' card or the 'Administration workspace' tiles.</t>
  </si>
  <si>
    <t>ADM-002</t>
  </si>
  <si>
    <t>Sign in &gt; Adviser</t>
  </si>
  <si>
    <t>Adviser account 990002 gets the same menu and pages as an Admin</t>
  </si>
  <si>
    <t>Adviser 990002 (PSITS-CCS). The SAO assigned this account. Its password is the adviser password on the tester sheet, not the demo password.</t>
  </si>
  <si>
    <t xml:space="preserve">1. Sign in with School ID 990002.
2. Compare the left menu with the Admin menu in the case above.
3. Open Members &gt; People.
4. Open Members &gt; Officer positions and find the Adviser row.
5. Open Finance &gt; Budgets.</t>
  </si>
  <si>
    <t>The menu is the same as the Admin menu (Dashboard, Approvals, Members, Finance, Events and tasks, Voting, Store, Updates, Records, My activity). People, Officer positions and Budgets open. If an Adviser position row exists it says 'SAO managed' and has no edit or delete menu.</t>
  </si>
  <si>
    <t>VERIFY: whether the seed holds an Adviser position row.</t>
  </si>
  <si>
    <t>ADM-003</t>
  </si>
  <si>
    <t>Left menu has the right groups, pages and order for an Admin</t>
  </si>
  <si>
    <t>Signed in as Admin 900001 (President of PSITS-CCS). Use the password from the tester sheet.</t>
  </si>
  <si>
    <t xml:space="preserve">1. Read the left menu from top to bottom.
2. Open each group to see its pages.
3. Scroll to the bottom of the menu.</t>
  </si>
  <si>
    <t>In order: Dashboard; Approvals; Members (People, Officer positions, Programs and sections); Finance (Budgets, Ledger, Collections and advances, Student accounts, Financial reports, Forecast); Events and tasks (Events, Venue booking, Planning, Tasks, AI delegation, Check-in); Voting (Elections, Results); Store (Inventory, Orders, Claim desk); Updates (Announcements, Feed); Records (Compliance, Grievances, Clearance signing, Audit log); My activity (Vote, Shop, My orders, My receipts, Statement of account). Profile and Study objectives sit at the bottom. No SAO, Department Head or student-only pages are listed.</t>
  </si>
  <si>
    <t>ADM-004</t>
  </si>
  <si>
    <t>Reach a page from the menu on a phone</t>
  </si>
  <si>
    <t>Signed in as Admin 900001 (President of PSITS-CCS). Use the password from the tester sheet. Use a phone, or a browser window narrower than 640 pixels.</t>
  </si>
  <si>
    <t xml:space="preserve">1. Tap 'Open menu' at the top.
2. Tap the group 'Events and tasks'.
3. Tap 'Events'.
4. Scroll down and sideways on the Events page.</t>
  </si>
  <si>
    <t>The menu opens as a drawer, the group opens, and the Events page loads with the title Events. The page does not scroll sideways and every button can be tapped.</t>
  </si>
  <si>
    <t>ADM-005</t>
  </si>
  <si>
    <t>Summary cards show counts and open the right page</t>
  </si>
  <si>
    <t>Signed in as Admin 900001 (President of PSITS-CCS). Use the password from the tester sheet. Round 1 (before the SAO opens a semester) shows the seeded events, tasks and election; see docs/MEMBER_TESTING.md section 3.</t>
  </si>
  <si>
    <t xml:space="preserve">1. On the Dashboard read the four cards: Pending Orders, Approval Requests, Pending Tasks, New Announcements.
2. Select 'Pending Orders'.
3. Go back and select 'Approval Requests'.
4. Go back and select 'Pending Tasks'.
5. Go back and select 'New Announcements'.</t>
  </si>
  <si>
    <t>Each card shows a number. Pending Orders opens Store &gt; Orders. Approval Requests opens Approvals. Pending Tasks opens Events and tasks &gt; Tasks. New Announcements opens Updates &gt; Feed.</t>
  </si>
  <si>
    <t>ADM-006</t>
  </si>
  <si>
    <t>A brand new organization sees the first-run message and the Getting started steps</t>
  </si>
  <si>
    <t>Use Admin 990032 (adviser of NSC-CHS). The seed leaves this organization with only its adviser, so no orders, approvals, tasks, announcements or ledger entries exist. If the page does not show the first-run message, someone already added data: ask the demo owner for a reset. Password is the adviser password on the tester sheet.</t>
  </si>
  <si>
    <t xml:space="preserve">1. Sign in as 990032.
2. Read the middle of the Dashboard.
3. Find the 'Getting started' card and read its steps.
4. Select the button 'Plan your first event'.</t>
  </si>
  <si>
    <t>The Dashboard says 'Nothing has happened here yet' and offers 'Plan your first event'. The Getting started card lists steps such as 'Set up your officer positions', 'Add your members', 'Set up programs and sections', 'Propose your first budget' and 'Plan your first event', each with a button. The button opens Events and tasks &gt; Events.</t>
  </si>
  <si>
    <t>ADM-007</t>
  </si>
  <si>
    <t>A Getting started step is ticked after the work is done</t>
  </si>
  <si>
    <t>Use Admin 990032 (NSC-CHS adviser). Do this while the step 'Set up your officer positions' is still undone; if it is already ticked, ask the demo owner for a reset. See docs/MEMBER_TESTING.md section 4, Admin journey 5.</t>
  </si>
  <si>
    <t xml:space="preserve">1. Open the Dashboard and note the progress bar on Getting started.
2. Select the step 'Set up your officer positions'.
3. Add one position (see the Officer positions cases) and save.
4. Return to the Dashboard.</t>
  </si>
  <si>
    <t>The step 'Set up your officer positions' no longer appears as undone and the progress bar has moved up by one step.</t>
  </si>
  <si>
    <t>ADM-008</t>
  </si>
  <si>
    <t>Financial status chart changes with the period</t>
  </si>
  <si>
    <t xml:space="preserve">1. On the Dashboard find the card 'Financial status'.
2. Change the 'Financial status period' to 3 months, then 6 months, then 12 months.
3. If no money was recorded, read the message under the chart.
4. Select 'Open ledger'.</t>
  </si>
  <si>
    <t>The chart redraws for each period. With no entries it says 'No ledger transactions in this period.' and offers 'Propose a budget'. 'Open ledger' opens Finance &gt; Ledger.</t>
  </si>
  <si>
    <t>ADM-009</t>
  </si>
  <si>
    <t>Latest announcements panel and its three buttons</t>
  </si>
  <si>
    <t xml:space="preserve">1. On the Dashboard find the 'Announcements' panel with the heading 'Latest updates'.
2. Select 'New announcement'.
3. Go back and select 'Manage announcements'.
4. Go back and select 'View Feed'.</t>
  </si>
  <si>
    <t>The panel lists published announcements, or says 'No published announcements yet.' The three buttons open the new announcement form, the Announcements page and the Feed.</t>
  </si>
  <si>
    <t>ADM-010</t>
  </si>
  <si>
    <t>Admin cannot open SAO pages by typing the address</t>
  </si>
  <si>
    <t xml:space="preserve">1. In the address bar type the address of your site followed by /dashboard/super-admin and press Enter.
2. Try /dashboard/super-admin/organizations.
3. Try /dashboard/super-admin/compliance.</t>
  </si>
  <si>
    <t>No SAO page or SAO data is shown. You are sent to a page you may use (normally your own Dashboard).</t>
  </si>
  <si>
    <t>VERIFY: the exact page you land on.</t>
  </si>
  <si>
    <t>ADM-011</t>
  </si>
  <si>
    <t>Admin cannot open Department Head, officer-only or student-only pages by typing the address</t>
  </si>
  <si>
    <t xml:space="preserve">1. Type /dashboard/department-head/approvals after the site address and press Enter.
2. Type /dashboard/tasks/assigned-tasks (an officer page).
3. Type /dashboard/elections/manage-voters (an officer page).
4. Type /dashboard/my-grievances (a student page).
5. Open Voting &gt; Elections, open an election and select the step 'Voters'.</t>
  </si>
  <si>
    <t>None of the typed pages opens for an Admin and you are sent to a page you may use.</t>
  </si>
  <si>
    <t>VERIFY: the exact page you land on. The 'Voters' step inside the election workspace does open a voter list with turnout.</t>
  </si>
  <si>
    <t>ADM-012</t>
  </si>
  <si>
    <t>Signed-out visitor is sent to the sign-in page</t>
  </si>
  <si>
    <t xml:space="preserve">1. Select your name at the top right and sign out.
2. Type /dashboard/admin/users after the site address and press Enter.
3. Type /dashboard/finance/financial-ledger and press Enter.</t>
  </si>
  <si>
    <t>You see 'Sign in to HIUSA' each time. No Admin page content is shown.</t>
  </si>
  <si>
    <t>ADM-013</t>
  </si>
  <si>
    <t>A session that ended elsewhere sends you to sign in</t>
  </si>
  <si>
    <t xml:space="preserve">1. Open HIUSA in two browser tabs, both signed in as 900001.
2. In tab 2 sign out.
3. Go back to tab 1 and select Members &gt; People.</t>
  </si>
  <si>
    <t>Tab 1 shows no data and takes you to the sign-in page instead of a broken page or a crash.</t>
  </si>
  <si>
    <t>ADM-014</t>
  </si>
  <si>
    <t>Members &gt; People</t>
  </si>
  <si>
    <t>People page shows summary cards, the table and 10 users per page</t>
  </si>
  <si>
    <t xml:space="preserve">1. Open Members &gt; People.
2. Read the cards: Total users, Students, Admins, Super admins.
3. Read the table headings.
4. Count the rows on the first page.</t>
  </si>
  <si>
    <t>Cards show counts. Table columns are School ID, Name, Role, Program / Major, Year Level, Section, Status, Actions. At most 10 rows show and a page control sits under the table. The Filtered user distribution chart is visible.</t>
  </si>
  <si>
    <t>ADM-015</t>
  </si>
  <si>
    <t>Search finds a user by name, school ID, program or email</t>
  </si>
  <si>
    <t xml:space="preserve">1. Open Members &gt; People.
2. In 'Search name, school ID, program, or email' type 2100142.
3. Wait a moment and read the table.
4. Clear the box and type part of a last name.
5. Type zzzzzz in the search box.</t>
  </si>
  <si>
    <t>The list narrows to matching users and the result count updates (for example 1 user). Clearing the box shows everyone again. A search with no match shows 'No users found.' and 0 users, with no error.</t>
  </si>
  <si>
    <t>ADM-016</t>
  </si>
  <si>
    <t>Filter users by role and account status</t>
  </si>
  <si>
    <t xml:space="preserve">1. Open Members &gt; People.
2. Choose 'Student' in the first dropdown (All roles).
3. Choose 'Active' in 'Filter by account status'.
4. Change the status to 'Disabled'.
5. Use the Clear option on the filter chips.</t>
  </si>
  <si>
    <t>Only matching users show each time. A chip for each active filter appears. Clear returns to all users and the first page.</t>
  </si>
  <si>
    <t>ADM-017</t>
  </si>
  <si>
    <t>Filter users by program, year level and section</t>
  </si>
  <si>
    <t>Signed in as Admin 900001 (President of PSITS-CCS). Use the password from the tester sheet. At least one program with sections exists (the seed has BS Information Technology).</t>
  </si>
  <si>
    <t xml:space="preserve">1. Open Members &gt; People.
2. Choose a program in 'Filter by program'.
3. Choose '1st Year' in 'Filter by year level'.
4. Open 'Filter by section' and read the options.</t>
  </si>
  <si>
    <t>The list shows only students of that program and year. The section list shows only sections of that program and year. Changing the program resets the section.</t>
  </si>
  <si>
    <t>ADM-018</t>
  </si>
  <si>
    <t>Sort users and change pages</t>
  </si>
  <si>
    <t>Signed in as Admin 900001 (President of PSITS-CCS). Use the password from the tester sheet. More than 10 users exist (the seed has about 16 students).</t>
  </si>
  <si>
    <t xml:space="preserve">1. Open Members &gt; People.
2. Open 'Sort users' and choose 'School ID'.
3. Choose 'Newest accounts'.
4. Select the next page in the page control.
5. Type a name in the search box.</t>
  </si>
  <si>
    <t>The rows reorder for each choice. Page 2 shows the remaining users. After a search the list goes back to page 1.</t>
  </si>
  <si>
    <t>ADM-019</t>
  </si>
  <si>
    <t>Create a student account</t>
  </si>
  <si>
    <t>Signed in as Admin 900001 (President of PSITS-CCS). Use the password from the tester sheet. A program exists. Use a school ID that does not exist yet, for example 2999001.</t>
  </si>
  <si>
    <t xml:space="preserve">1. Open Members &gt; People and select 'New User'.
2. Fill School ID, Email, First Name and Last Name.
3. Leave Role as Student and choose a Course / Program, Year Level and Section.
4. Type a Password and the same text in Confirm Password (at least 8 characters).
5. Select 'Create User'.</t>
  </si>
  <si>
    <t>The dialog closes with the message 'User account created.' The student appears in the table as Active with the program, year and section you chose.</t>
  </si>
  <si>
    <t>ADM-020</t>
  </si>
  <si>
    <t>Create user form: dependent dropdowns and the position field</t>
  </si>
  <si>
    <t xml:space="preserve">1. Select 'New User'.
2. Note the Year Level and Section boxes before choosing a program.
3. Choose a Course / Program, then a Year Level, then open Section.
4. Change Role to 'SBO Officer' and look for 'Organization Position'.
5. Change Role back to 'Student'.</t>
  </si>
  <si>
    <t>Year Level stays disabled until a program is chosen and Section stays disabled until a year is chosen. The Section list shows only sections of that program and year. 'Organization Position' appears for SBO Officer and Admin only and disappears for Student.</t>
  </si>
  <si>
    <t>ADM-021</t>
  </si>
  <si>
    <t>Create user: required fields and a student without a program</t>
  </si>
  <si>
    <t xml:space="preserve">1. Select 'New User'.
2. Leave everything empty and select 'Create User'.
3. Fill every required field but leave Course / Program empty for a Student.
4. Select 'Create User'.</t>
  </si>
  <si>
    <t>The browser asks for the empty required fields (marked with *). With no program the form says 'Choose a course/program for this student.' No account is created.</t>
  </si>
  <si>
    <t>ADM-022</t>
  </si>
  <si>
    <t>Create user: duplicate school ID or email is refused</t>
  </si>
  <si>
    <t xml:space="preserve">1. Select 'New User'.
2. Type School ID 2100142 (already used) with a new email and a valid password.
3. Select 'Create User'.
4. Change the School ID to a new number and use the email of another user in your organization.
5. Select 'Create User' again.</t>
  </si>
  <si>
    <t>Each attempt stays open and shows a red message under the field (for example that the school ID or email is already taken).</t>
  </si>
  <si>
    <t>VERIFY: exact wording. No second account is created.</t>
  </si>
  <si>
    <t>ADM-023</t>
  </si>
  <si>
    <t>Create user: password rules and bad values</t>
  </si>
  <si>
    <t xml:space="preserve">1. Select 'New User' and fill all required fields.
2. Type a Password of 5 characters and the same in Confirm Password, then select 'Create User'.
3. Type a valid Password and a different text in Confirm Password, then select 'Create User'.
4. Put letters in Contact Number and select 'Create User'.
5. Type 123456789 (nine digits) as School ID and select 'Create User'.</t>
  </si>
  <si>
    <t>Each attempt is refused with a message under the field: the password must be at least 8 characters, the confirmation must match, the contact number may only hold digits, + - ( ) and spaces, and the School ID may hold at most 8 digits.</t>
  </si>
  <si>
    <t>VERIFY: exact wording.</t>
  </si>
  <si>
    <t>ADM-024</t>
  </si>
  <si>
    <t>Create an SBO Officer with an organization position</t>
  </si>
  <si>
    <t>Signed in as Admin 900001 (President of PSITS-CCS). Use the password from the tester sheet. At least one active SBO Officer position exists (see Officer positions).</t>
  </si>
  <si>
    <t xml:space="preserve">1. Select 'New User'.
2. Set Role to 'SBO Officer'.
3. Open 'Organization Position' and choose a position.
4. Fill the other required fields and select 'Create User'.</t>
  </si>
  <si>
    <t>The account is created and shows Role SBO Officer. The View profile dialog shows the position under 'Organization position'. Only active positions are in the list, and 'Adviser' is never offered.</t>
  </si>
  <si>
    <t>ADM-025</t>
  </si>
  <si>
    <t>Admin cannot create a Department Head account</t>
  </si>
  <si>
    <t xml:space="preserve">1. Select 'New User'.
2. Fill all required fields.
3. Set Role to 'Department Head'.
4. Select 'Create User'.</t>
  </si>
  <si>
    <t>The account is refused with a message that the role is not valid. Only the SAO creates Department Heads. No account is created.</t>
  </si>
  <si>
    <t>ADM-026</t>
  </si>
  <si>
    <t>Profile photo must be an image under 2 MB</t>
  </si>
  <si>
    <t>Signed in as Admin 900001 (President of PSITS-CCS). Use the password from the tester sheet. Have a PDF file and an image larger than 2 MB ready.</t>
  </si>
  <si>
    <t xml:space="preserve">1. Select 'New User' and fill the required fields.
2. In 'Profile photo (optional)' choose the PDF file.
3. Select 'Create User'.
4. Choose the large image instead and select 'Create User' again.</t>
  </si>
  <si>
    <t>Each attempt shows 'Choose a JPEG, PNG, or WebP image up to 2 MB.' and nothing is created. A small JPEG or PNG is accepted.</t>
  </si>
  <si>
    <t>ADM-027</t>
  </si>
  <si>
    <t>Edit a student account</t>
  </si>
  <si>
    <t xml:space="preserve">1. Open Members &gt; People and open the row menu (three dots) of a student.
2. Select 'Edit user'.
3. Try to type in the School ID box.
4. Change the Last Name and the Section.
5. Select 'Save Changes'.</t>
  </si>
  <si>
    <t>School ID is greyed out and cannot be changed. The dialog closes with 'User account updated.' and the table shows the new values.</t>
  </si>
  <si>
    <t>ADM-028</t>
  </si>
  <si>
    <t>Edit: an email used by someone else is refused</t>
  </si>
  <si>
    <t xml:space="preserve">1. Open the row menu of a student and select 'Edit user'.
2. Replace the email with the email of another student in your organization.
3. Select 'Save Changes'.</t>
  </si>
  <si>
    <t>The dialog stays open with a red message that the email is already taken. The old email is kept.</t>
  </si>
  <si>
    <t>ADM-029</t>
  </si>
  <si>
    <t>Admin accounts cannot be edited, deactivated or deleted by an Admin</t>
  </si>
  <si>
    <t>Signed in as Admin 900001 (President of PSITS-CCS). Use the password from the tester sheet. Another Admin exists in PSITS-CCS (900002 or 900003).</t>
  </si>
  <si>
    <t xml:space="preserve">1. Open Members &gt; People and choose 'Admin' in the role dropdown.
2. Open the row menu of 900002.
3. Read every item in the menu.
4. Search 990002 (the Adviser) and read the items in its row menu.</t>
  </si>
  <si>
    <t>The menus offer View profile and fingerprint items but no 'Edit user', 'Deactivate account' or 'Delete profile'. Only the SAO manages Admin and Adviser accounts.</t>
  </si>
  <si>
    <t>ADM-030</t>
  </si>
  <si>
    <t>An Admin cannot delete or deactivate their own account</t>
  </si>
  <si>
    <t xml:space="preserve">1. Open Members &gt; People and search 900001.
2. Open the row menu of your own row.
3. Look for 'Delete profile' and 'Deactivate account'.</t>
  </si>
  <si>
    <t>Your own row offers no 'Delete profile' and no 'Deactivate account'. If the request is forced the system refuses with 'You cannot delete your own account.'</t>
  </si>
  <si>
    <t>ADM-031</t>
  </si>
  <si>
    <t>Deactivate a student (sign-in is refused), then reactivate</t>
  </si>
  <si>
    <t>Signed in as Admin 900001 (President of PSITS-CCS). Use the password from the tester sheet. Use a test student you created, not a shared demo student.</t>
  </si>
  <si>
    <t xml:space="preserve">1. Open the row menu of the test student and select 'Deactivate account', then 'Deactivate' in 'Deactivate User'.
2. Read the message and the Status column.
3. In a private window try to sign in as that student.
4. Back in People open the row menu and select 'Reactivate account', then 'Reactivate' in 'Reactivate User'.
5. Read the message and the Status column.</t>
  </si>
  <si>
    <t>After deactivating the message reads '&lt;name&gt; was deactivated.', Status shows Inactive and the student sees 'This account cannot sign in right now. Contact your organization admin for help.' After reactivating the message reads '&lt;name&gt; was reactivated.' and Status shows Active. The dialog warns the student may still need to reset a password.</t>
  </si>
  <si>
    <t>ADM-032</t>
  </si>
  <si>
    <t>Delete an organization profile needs the school ID typed</t>
  </si>
  <si>
    <t>Signed in as Admin 900001 (President of PSITS-CCS). Use the password from the tester sheet. Use a test student you created.</t>
  </si>
  <si>
    <t xml:space="preserve">1. Open the row menu of the test student and select 'Delete profile'.
2. Read the dialog 'Delete organization profile'.
3. Try to confirm without typing anything.
4. Type the student's school ID and select 'Delete profile'.</t>
  </si>
  <si>
    <t>The confirm button stays off until the exact school ID is typed. After deleting the message reads '&lt;name&gt; had their organization profile removed.' and the row is gone.</t>
  </si>
  <si>
    <t>ADM-033</t>
  </si>
  <si>
    <t>Delete is blocked when the student has linked records</t>
  </si>
  <si>
    <t>Signed in as Admin 900001 (President of PSITS-CCS). Use the password from the tester sheet. Use a seeded student who has an order, vote or invoice, for example 2100142. Do this on a copy you can reset.</t>
  </si>
  <si>
    <t xml:space="preserve">1. Open the row menu of that student and select 'Delete profile'.
2. Type the school ID and confirm.
3. Read the red message on the page.</t>
  </si>
  <si>
    <t>The student is not deleted. The page shows a message such as 'Unable to delete this user because linked records may still exist.'</t>
  </si>
  <si>
    <t>VERIFY: exact wording and whether the profile is removed or kept.</t>
  </si>
  <si>
    <t>ADM-034</t>
  </si>
  <si>
    <t>View profile shows details and the live student debt summary</t>
  </si>
  <si>
    <t xml:space="preserve">1. Open the row menu of a student and select 'View profile'.
2. Read the details grid.
3. Scroll to 'Live Student Debt Summary'.
4. Close the dialog.</t>
  </si>
  <si>
    <t>The 'User Profile' dialog shows email, contact number, role, status, department, program, year, major, section and organization position. The debt summary shows Invoice balance, Reserved merchandise and Total outstanding with 'Financially cleared' or 'Pending clearance'.</t>
  </si>
  <si>
    <t>ADM-035</t>
  </si>
  <si>
    <t>Export the user list to CSV</t>
  </si>
  <si>
    <t xml:space="preserve">1. Open Members &gt; People.
2. Choose 'Student' in the role dropdown.
3. Select 'Export'.
4. Open the downloaded file.</t>
  </si>
  <si>
    <t>A file named user-register-&lt;date&gt;.csv downloads with the columns School ID, Last Name, First Name, Email, Role, Position, Department, Program, Major, Year Level, Section, Account Status, Created At, Updated At, listing every student, not just the first page. Export is greyed out when no user matches.</t>
  </si>
  <si>
    <t>ADM-036</t>
  </si>
  <si>
    <t>Import members from a CSV file (check first, then import)</t>
  </si>
  <si>
    <t>Signed in as Admin 900001 (President of PSITS-CCS). Use the password from the tester sheet. Prepare a CSV with the header school_id,first_name,last_name,email,role,program,year_level,section,contact_number and two new Student rows. You can start from the template.</t>
  </si>
  <si>
    <t xml:space="preserve">1. Open Members &gt; People and select 'Import'.
2. In the 'Import members' panel select 'Download template' and compare it with your file.
3. Choose your file in 'CSV file' and select 'Check file'.
4. Read the green message, then select 'Import 2 members'.</t>
  </si>
  <si>
    <t>The check says 'All 2 rows are ready to import.' After importing the toast reads '2 member accounts created' with the note that they set a password with Forgot password. Both rows appear in the table.</t>
  </si>
  <si>
    <t>ADM-037</t>
  </si>
  <si>
    <t>Import shows every bad row and imports nothing</t>
  </si>
  <si>
    <t>Signed in as Admin 900001 (President of PSITS-CCS). Use the password from the tester sheet. A CSV with one good row, one row with a school ID already in use and one row with an email missing.</t>
  </si>
  <si>
    <t xml:space="preserve">1. Open the 'Import members' panel.
2. Choose the file and select 'Check file'.
3. Read the red message and the list of rows.
4. Fix nothing and look at the table behind the panel.</t>
  </si>
  <si>
    <t>The panel says '2 of 3 rows need fixing. Nothing has been imported; correct the file and check it again.' Each bad row is listed with its row number and reason. No new user appears.</t>
  </si>
  <si>
    <t>ADM-038</t>
  </si>
  <si>
    <t>Import: wrong header, empty file, Admin role and file limits</t>
  </si>
  <si>
    <t>Signed in as Admin 900001 (President of PSITS-CCS). Use the password from the tester sheet. Prepare: a CSV missing the email column, a CSV with a header only, a CSV with a row whose role is Admin, and a file ending .pdf.</t>
  </si>
  <si>
    <t xml:space="preserve">1. Open the 'Import members' panel and check the file without the email column.
2. Check the header-only file.
3. Check the file with an Admin row.
4. Try the .pdf file.</t>
  </si>
  <si>
    <t>Messages: 'The first row must name the columns, including school_id, first_name, last_name, email and role.'; 'The file has no member rows under its header.'; the Admin row is listed as an error because admin accounts are added one at a time; the .pdf is refused. Nothing is imported. Note: the panel text says Department Head can be imported but the system refuses that role. VERIFY.</t>
  </si>
  <si>
    <t>ADM-039</t>
  </si>
  <si>
    <t>A member created or imported by an Admin must set a new password at first sign-in</t>
  </si>
  <si>
    <t>Signed in as Admin 900001 (President of PSITS-CCS). Use the password from the tester sheet. You created the test student with a password in the case 'Create a student account'. See docs/MEMBER_TESTING.md section 2 (forced password change).</t>
  </si>
  <si>
    <t xml:space="preserve">1. Sign out.
2. Sign in as the new student with the password you set.
3. Look at the screen you get.
4. Fill 'Current password', 'New password' and 'Confirm new password' and save.</t>
  </si>
  <si>
    <t>The student sees 'Choose a new password' and no other page opens until the change is saved. After saving the student reaches their home page.</t>
  </si>
  <si>
    <t>ADM-040</t>
  </si>
  <si>
    <t>Add an existing user to the organization</t>
  </si>
  <si>
    <t>Signed in as Admin 900001 (President of PSITS-CCS). Use the password from the tester sheet. The seed has few eligible users in one college, so this may show the empty message. Use a copy you can reset.</t>
  </si>
  <si>
    <t xml:space="preserve">1. Open Members &gt; People and select 'Add existing user'.
2. Read the dialog 'Add existing user' and choose the destination organization.
3. Search a name, school ID or email.
4. Choose a user and a role, then select 'Add user'.</t>
  </si>
  <si>
    <t>Only eligible users of the same college who are not yet members are listed, or the dialog says 'No eligible users found in this college.' After adding, the toast reads 'User added to the organization.' The role list does not offer Admin to an Admin.</t>
  </si>
  <si>
    <t>VERIFY: result on the seed data.</t>
  </si>
  <si>
    <t>ADM-041</t>
  </si>
  <si>
    <t>Manage a user's organization profiles</t>
  </si>
  <si>
    <t xml:space="preserve">1. Open the row menu of a student and select 'Manage profiles'.
2. Read the dialog 'Manage user profiles'.
3. Look at the 'Delete profile' button of a profile that cannot be removed.</t>
  </si>
  <si>
    <t>The dialog lists the profile(s) with organization, role, status and 'Primary profile' or 'Additional profile'. A profile that cannot be deleted has the button greyed out with the reason shown.</t>
  </si>
  <si>
    <t>ADM-042</t>
  </si>
  <si>
    <t>Enroll a fingerprint (needs the DigitalPersona reader)</t>
  </si>
  <si>
    <t>Signed in as Admin 900001 (President of PSITS-CCS). Use the password from the tester sheet. The fingerprint reader is plugged into the laptop. Without it, only the first checks apply.</t>
  </si>
  <si>
    <t xml:space="preserve">1. Open the row menu of a student and select 'Enroll fingerprint'.
2. Read the scanner status in the dialog 'Enroll Fingerprint'.
3. Tick the consent box 'I confirm the user consented to biometric enrollment...'.
4. Select 'Start 4-Scan Enrollment' and scan the same finger four times.</t>
  </si>
  <si>
    <t>Without a reader the Start button stays off and the scanner shows not connected. With a reader and consent, the progress counts 0 to 4 and the toast reads 'Fingerprint enrollment completed...' The row then shows a fingerprint icon.</t>
  </si>
  <si>
    <t>ADM-043</t>
  </si>
  <si>
    <t>Other organizations' members are not visible</t>
  </si>
  <si>
    <t>Sign in as Admin 920011 (President of JPIA-CBE).</t>
  </si>
  <si>
    <t xml:space="preserve">1. Open Members &gt; People.
2. Search 2100142 (a PSITS-CCS student).
3. Search 2400118 (a FES-CTE student).
4. Read the total on the cards.</t>
  </si>
  <si>
    <t>Both searches show 'No users found.' The list holds only JPIA-CBE members.</t>
  </si>
  <si>
    <t>ADM-044</t>
  </si>
  <si>
    <t>People page works on a phone</t>
  </si>
  <si>
    <t>Signed in as Admin 900001 (President of PSITS-CCS). Use the password from the tester sheet. Use a phone.</t>
  </si>
  <si>
    <t xml:space="preserve">1. Open Members &gt; People.
2. Read one user card.
3. Tap the three-dot button on a card.
4. Tap 'View profile'.</t>
  </si>
  <si>
    <t>Users show as cards with name, school ID, role, status, program, year and section. The action menu opens fully on screen and the profile dialog fits the screen.</t>
  </si>
  <si>
    <t>ADM-045</t>
  </si>
  <si>
    <t>Members &gt; Officer positions</t>
  </si>
  <si>
    <t>Officer positions list, search and role filter</t>
  </si>
  <si>
    <t xml:space="preserve">1. Open Members &gt; Officer positions.
2. Read the table headings.
3. Type part of a title in 'Search title or responsibilities...'.
4. Choose 'Admin' in 'Filter positions by account role'.
5. Open page 2 with the page control if it exists.</t>
  </si>
  <si>
    <t>Columns are Position, Account Role, Responsibilities, Status, Actions, with 10 rows per page. The search and role filter narrow the list. A filter with no match shows 'No positions match the current filters.'</t>
  </si>
  <si>
    <t>ADM-046</t>
  </si>
  <si>
    <t>Add an SBO Officer position</t>
  </si>
  <si>
    <t xml:space="preserve">1. Select 'Add Position'.
2. Leave 'Assignable account role *' as Admin, then change it to 'SBO Officer'.
3. Type a 'Position title *', for example Public Relations Officer.
4. Type some Responsibilities.
5. Select 'Save Position'.</t>
  </si>
  <si>
    <t>The toast reads 'Position created successfully.' and the position appears as Active in the list. It is now offered in New User when the role is SBO Officer.</t>
  </si>
  <si>
    <t>ADM-047</t>
  </si>
  <si>
    <t>Add an Admin position from the list or with Other position</t>
  </si>
  <si>
    <t xml:space="preserve">1. Select 'Add Position' with role Admin.
2. Open 'Position title *' and read the choices.
3. Choose 'Other position...'.
4. Type 'Executive Secretary' in 'Other position title *'.
5. Select 'Save Position'.</t>
  </si>
  <si>
    <t>The list holds Choose a title, Adviser (SAO only, greyed), President, Secretary, Treasurer, Auditor, Chief of Developer and Other position... The custom title saves with 'Position created successfully.'</t>
  </si>
  <si>
    <t>ADM-048</t>
  </si>
  <si>
    <t>Position title rules: too short, duplicate, and the reserved Adviser title</t>
  </si>
  <si>
    <t xml:space="preserve">1. Select 'Add Position', choose role SBO Officer and type a single letter as the title, then select 'Save Position'.
2. Type a title that already exists for SBO Officer and save.
3. Choose role Admin, 'Other position...' and type Adviser, then save.</t>
  </si>
  <si>
    <t>Messages: 'Position title must contain at least 2 characters.'; a message that the title is already taken; and 'The Adviser position is assigned only by the Student Affairs Office.'</t>
  </si>
  <si>
    <t>VERIFY: exact wording of the duplicate message. Nothing is created.</t>
  </si>
  <si>
    <t>ADM-049</t>
  </si>
  <si>
    <t>Edit a position and make it unavailable</t>
  </si>
  <si>
    <t>Signed in as Admin 900001 (President of PSITS-CCS). Use the password from the tester sheet. Use a position you created.</t>
  </si>
  <si>
    <t xml:space="preserve">1. Open the row menu of your position and select 'Edit position'.
2. Change the Responsibilities text.
3. Untick 'Available for assignment'.
4. Select 'Save Position'.
5. Open Members &gt; People &gt; New User with role SBO Officer and read the position list.</t>
  </si>
  <si>
    <t>The toast reads 'Position updated successfully.' and the row shows Inactive. The inactive position is no longer offered in New User.</t>
  </si>
  <si>
    <t>ADM-050</t>
  </si>
  <si>
    <t>Delete a position needs its title typed</t>
  </si>
  <si>
    <t>Signed in as Admin 900001 (President of PSITS-CCS). Use the password from the tester sheet. Use a position you created and assigned to a test officer.</t>
  </si>
  <si>
    <t xml:space="preserve">1. Open the row menu of the position and select 'Delete position'.
2. Read the dialog 'Delete Position'.
3. Type the position title and select 'Delete Position'.</t>
  </si>
  <si>
    <t>The toast reads '&lt;title&gt; was deleted. Assigned users were safely unassigned.' The row is gone and the officer now has no position.</t>
  </si>
  <si>
    <t>ADM-051</t>
  </si>
  <si>
    <t>The Adviser position cannot be changed by an Admin</t>
  </si>
  <si>
    <t xml:space="preserve">1. Open Members &gt; Officer positions.
2. Find the row 'Adviser' for account role Admin.
3. Look at the Actions column.</t>
  </si>
  <si>
    <t>The Actions column says 'SAO managed' and there is no edit or delete menu.</t>
  </si>
  <si>
    <t>ADM-052</t>
  </si>
  <si>
    <t>Members &gt; Programs and sections</t>
  </si>
  <si>
    <t>Add a program with block sections</t>
  </si>
  <si>
    <t xml:space="preserve">1. Open Members &gt; Programs and sections.
2. Read the box 'Department'.
3. Type a name in 'Course / Program', for example BS Accountancy.
4. Set 'Years in this program' to 4 and the '1st Year sections' to 2.
5. Select 'Add Program'.</t>
  </si>
  <si>
    <t>The message reads 'Program and its required Non Block sections were created.' The program appears under 'Configured programs' with block sections A, B and a Non Block section for each year.</t>
  </si>
  <si>
    <t>ADM-053</t>
  </si>
  <si>
    <t>Program form limits: empty name, duplicate name, years and section counts</t>
  </si>
  <si>
    <t xml:space="preserve">1. Leave 'Course / Program' empty and look at 'Add Program'.
2. Type a name that already exists and select 'Add Program'.
3. Set 'Years in this program' to 9, then to 0.
4. Type 30 in one 'sections' box and select 'Add Program'.</t>
  </si>
  <si>
    <t>Add Program stays off with an empty name. A duplicate name is refused with a red message. Years are held between 1 and 8. More than 26 sections for a year is refused.</t>
  </si>
  <si>
    <t>ADM-054</t>
  </si>
  <si>
    <t>Edit a program</t>
  </si>
  <si>
    <t>Signed in as Admin 900001 (President of PSITS-CCS). Use the password from the tester sheet. Use a program you created.</t>
  </si>
  <si>
    <t xml:space="preserve">1. Select the pencil button 'Edit &lt;program name&gt;'.
2. Change the name and add one section to 1st Year.
3. Read the amber note in the dialog.
4. Select 'Save Changes'.</t>
  </si>
  <si>
    <t>The dialog 'Edit Program' warns that a section cannot be removed while accounts are assigned to it. The message reads 'Program and section settings were updated.' and the list shows the new data.</t>
  </si>
  <si>
    <t>ADM-055</t>
  </si>
  <si>
    <t>A program with assigned users cannot be deleted</t>
  </si>
  <si>
    <t xml:space="preserve">1. Select the trash button 'Delete BS Information Technology' (a program with students).
2. Read the dialog 'Delete program?'.
3. Select 'Delete Program'.</t>
  </si>
  <si>
    <t>The program stays. The page shows 'Cannot delete this program while N user account(s) are assigned to it.'</t>
  </si>
  <si>
    <t>ADM-056</t>
  </si>
  <si>
    <t>Delete a program nobody uses</t>
  </si>
  <si>
    <t>Signed in as Admin 900001 (President of PSITS-CCS). Use the password from the tester sheet. Use a program you created and did not assign.</t>
  </si>
  <si>
    <t xml:space="preserve">1. Select the trash button for your program.
2. Read the dialog 'Delete program?'.
3. Select 'Delete Program'.</t>
  </si>
  <si>
    <t>The message reads 'Program and its sections were deleted.' and it leaves the list.</t>
  </si>
  <si>
    <t>ADM-057</t>
  </si>
  <si>
    <t>Import a class list: preview, apply, temporary passwords</t>
  </si>
  <si>
    <t>Signed in as Admin 900001 (President of PSITS-CCS). Use the password from the tester sheet. Prepare a CSV with columns school_id,first_name,last_name,email,program,year_level,section: one new student, one existing student with a changed section, one row with a program that does not exist.</t>
  </si>
  <si>
    <t xml:space="preserve">1. In the box 'Import class list' select 'Download CSV template' and compare.
2. Choose your file in 'Choose class list' and select 'Preview'.
3. Read the counts: New account, Update, Unchanged, Invalid, Duplicate.
4. Select 'Confirm and apply 2 rows'.
5. In the amber box 'Temporary passwords' select 'Download temporary passwords (CSV)', then 'Dismiss'.</t>
  </si>
  <si>
    <t>The preview lists each row with a Result and a reason for the invalid one ('Choose a configured program, year number, and section for that year.'). After applying, the message reads 'Import complete: 1 created, 1 updated, 0 unchanged, 1 invalid, 0 duplicate.' The CSV holds school_id, name, temporary_password. The passwords cannot be shown again after Dismiss.</t>
  </si>
  <si>
    <t>ADM-058</t>
  </si>
  <si>
    <t>Class list: nothing to apply, wrong file</t>
  </si>
  <si>
    <t xml:space="preserve">1. Choose a class list where every row is invalid or unchanged and select 'Preview'.
2. Look at the apply button.
3. Choose a file that is not CSV or is larger than 2 MB and select 'Preview'.</t>
  </si>
  <si>
    <t>The button 'Confirm and apply 0 rows' stays off when no row is new or changed. A wrong or too large file shows a red message and no preview.</t>
  </si>
  <si>
    <t>ADM-059</t>
  </si>
  <si>
    <t>A student created by class list import must change the temporary password</t>
  </si>
  <si>
    <t>Signed in as Admin 900001 (President of PSITS-CCS). Use the password from the tester sheet. Use the new student and the temporary password from the downloaded file (MEMBER_TESTING section 4, last paragraph).</t>
  </si>
  <si>
    <t xml:space="preserve">1. Sign out.
2. Sign in with the new student's school ID and temporary password.
3. Read the screen.
4. Set a new password and save.</t>
  </si>
  <si>
    <t>A screen asks for a new password and nothing else opens until it is saved. After saving the student reaches their home.</t>
  </si>
  <si>
    <t>ADM-060</t>
  </si>
  <si>
    <t>With no program configured, a student cannot be created</t>
  </si>
  <si>
    <t>Use Admin 990032 (NSC-CHS adviser). The seed gives NSC-CHS one program and no students, so that program can be deleted. Add it back at the end (step 6) so the next tester is not affected. Password is on the tester sheet.</t>
  </si>
  <si>
    <t xml:space="preserve">1. Open Members &gt; Programs and sections and delete the one configured program (Delete Program).
2. Read the 'Configured programs' area.
3. Open Members &gt; People and select 'New User' with Role Student.
4. Read the hint under 'Course / Program' and try 'Create User' with the other fields filled.
5. Close the form.
6. Add the program again with 'Add Program'.</t>
  </si>
  <si>
    <t>The list says 'No programs have been configured yet.' The New User form says 'Configure a program in Programs &amp; Sections first.' and the student is refused with 'Configure a course/program before creating a student.' After step 6 the program is back.</t>
  </si>
  <si>
    <t>ADM-061</t>
  </si>
  <si>
    <t>Events and tasks &gt; Events</t>
  </si>
  <si>
    <t>Events page shows the list, counts and the academic period</t>
  </si>
  <si>
    <t>Signed in as Admin 900001 (President of PSITS-CCS). Use the password from the tester sheet. Round 1 (no semester opened yet) shows the seeded events and tasks; Round 2 needs the SAO to add and activate a semester covering the test dates (docs/MEMBER_TESTING.md section 3). Once a semester is active the seeded events, tasks and election leave the lists.</t>
  </si>
  <si>
    <t xml:space="preserve">1. Open Events and tasks &gt; Events.
2. Read the four counts: Total Events, Upcoming, Completed, Total Tasks.
3. Read the table headings.
4. Read the 'Academic period' box.</t>
  </si>
  <si>
    <t>The title is Events and the button 'New event' is the main button. Table columns: Event, Organizer, Schedule, Venue, Attendance, Tasks, Status, Budget Status, Actions. Each row shows a stage line such as 'Waiting for Department Head'. The period box defaults to 'Active period'.</t>
  </si>
  <si>
    <t>ADM-062</t>
  </si>
  <si>
    <t>Propose an event (the main Admin journey)</t>
  </si>
  <si>
    <t>Signed in as Admin 900001 (President of PSITS-CCS). Use the password from the tester sheet. Round 2: the SAO has added and activated a semester that covers the test dates (docs/MEMBER_TESTING.md section 3). MEMBER_TESTING section 4, Admin journey 1 (4 clicks).</t>
  </si>
  <si>
    <t xml:space="preserve">1. Open Events and tasks &gt; Events and select 'New event'.
2. Type an 'Event Name *'.
3. Set 'Start Date *', 'Start Time *', 'End Date' and 'End Time' inside the active semester.
4. Under 'Venue type' keep 'On campus' and choose a venue in 'SAO venue'.
5. Select 'Submit proposal'.</t>
  </si>
  <si>
    <t>The form closes and the 'Event details' window opens with the event title and an 'Event progress' stepper. The current step is Department Head approval and the text says 'Waiting for Department Head approval'. The event shows in the list with status planning.</t>
  </si>
  <si>
    <t>ADM-063</t>
  </si>
  <si>
    <t>Event form: required fields and end before start</t>
  </si>
  <si>
    <t xml:space="preserve">1. Select 'New event'.
2. Look at 'Submit proposal' with an empty Event Name.
3. Fill the name, start date and start time. Leave the end date and end time empty.
4. Set an end date and time earlier than the start and select 'Submit proposal'.</t>
  </si>
  <si>
    <t>The Submit proposal button is off until Event Name, Start Date, Start Time, End Date and End Time are filled. An end before the start is refused with a red message under the form (the end time must be after the start time).</t>
  </si>
  <si>
    <t>VERIFY: exact wording. No event is created.</t>
  </si>
  <si>
    <t>ADM-064</t>
  </si>
  <si>
    <t>Event dates must be inside the active semester</t>
  </si>
  <si>
    <t>Signed in as Admin 900001 (President of PSITS-CCS). Use the password from the tester sheet. Round 2: the SAO has added and activated a semester that covers the test dates (docs/MEMBER_TESTING.md section 3).</t>
  </si>
  <si>
    <t xml:space="preserve">1. Select 'New event'.
2. Fill the name and a venue.
3. Pick a start date and end date outside the active semester (for example one year later).
4. Select 'Submit proposal'.</t>
  </si>
  <si>
    <t>The proposal is refused with 'Event dates must fall within the active academic semester.' and no event is created.</t>
  </si>
  <si>
    <t>ADM-065</t>
  </si>
  <si>
    <t>Venue rules: on-campus needs a venue, off-campus needs a location</t>
  </si>
  <si>
    <t xml:space="preserve">1. Select 'New event' and fill the required fields.
2. Keep 'On campus' and leave 'SAO venue' on 'Choose a venue', then select 'Submit proposal'.
3. Change 'Venue type' to 'Off campus' and leave 'Off-campus location' empty, then select 'Submit proposal'.
4. Type a location and submit again.</t>
  </si>
  <si>
    <t>The first two attempts are refused with 'Choose an active SAO on-campus venue.' and 'Enter the off-campus location.' The third works.</t>
  </si>
  <si>
    <t>ADM-066</t>
  </si>
  <si>
    <t>Event that needs a budget: notes are required and the threshold cannot exceed the budget</t>
  </si>
  <si>
    <t xml:space="preserve">1. Select 'New event' and fill the required fields.
2. Tick 'Requires budget allocation' and look at Submit proposal.
3. Type notes in 'Budget Requirements / Notes'.
4. Type Proposed Budget 1000 and Warning Threshold 2000, then select 'Submit proposal'.
5. Change the threshold to 500 and submit again.</t>
  </si>
  <si>
    <t>Submit proposal stays off while the notes are empty. A threshold above the proposed budget is refused with 'The budget warning threshold cannot exceed the proposed budget.' With 500 the event is created.</t>
  </si>
  <si>
    <t>ADM-067</t>
  </si>
  <si>
    <t>A proposed budget on the event creates a linked budget request</t>
  </si>
  <si>
    <t xml:space="preserve">1. Propose an event with 'Requires budget allocation' ticked, notes, Proposed Budget 5000 and Warning Threshold 1000.
2. Open Finance &gt; Budgets.
3. Find the budget named after the event.</t>
  </si>
  <si>
    <t>A budget titled '&lt;event name&gt; Proposed Budget' exists with Allocated 5,000.00, linked to the event, waiting for Department Head approval. The Department Head sees a separate approval row for the budget.</t>
  </si>
  <si>
    <t>ADM-068</t>
  </si>
  <si>
    <t>Event details window: stepper, schedule, tasks and attendance</t>
  </si>
  <si>
    <t xml:space="preserve">1. In the list open the row menu of an event and select 'View event'.
2. Read the 'Event progress' stepper and the line under it.
3. Read Schedule, Location, Preparation progress and Attendance Summary.
4. Read 'Linked Budget Status'.
5. Close with the X button.</t>
  </si>
  <si>
    <t>The window shows the stage names (Proposal, Requirements, Approval, Funding, Prepare, Run, Report) with the current step marked, one next-step sentence, the details and the linked budget status. The same stage text appears on the list row.</t>
  </si>
  <si>
    <t>ADM-069</t>
  </si>
  <si>
    <t>Submit the SAO event files</t>
  </si>
  <si>
    <t>Signed in as Admin 900001 (President of PSITS-CCS). Use the password from the tester sheet. The SAO has already defined event file requirements (SAO &gt; Compliance &gt; Event requirements) that apply to your event. Do this together with the SAO player.</t>
  </si>
  <si>
    <t xml:space="preserve">1. Propose an event, or open one that says 'SAO files needed'.
2. In the window find 'SAO event requirements'.
3. Choose one PDF for each listed item.
4. Select 'Submit event files to SAO'.</t>
  </si>
  <si>
    <t>The files are listed with a View button and the section shows a review line. The stage moves on to waiting for the SAO (after the Department Head has approved). If the SAO has defined no requirements, the section says 'SAO has not listed any file requirements.'</t>
  </si>
  <si>
    <t>ADM-070</t>
  </si>
  <si>
    <t>SAO event files: non-PDF or missing file, and a second submission</t>
  </si>
  <si>
    <t>Signed in as Admin 900001 (President of PSITS-CCS). Use the password from the tester sheet. Same setup as the case above.</t>
  </si>
  <si>
    <t xml:space="preserve">1. Open an event that needs SAO files.
2. Choose a .docx file for a required item and submit.
3. Leave a required item empty and submit.
4. Submit a complete set, then try to submit again.</t>
  </si>
  <si>
    <t>A non-PDF file and a missing required item are refused ( 'Upload a PDF for every required SAO item.' or a file type message). After a complete submission the upload form is hidden; a repeated send is refused with 'This event has already been submitted.'</t>
  </si>
  <si>
    <t>ADM-071</t>
  </si>
  <si>
    <t>Edit an event</t>
  </si>
  <si>
    <t xml:space="preserve">1. Open the row menu of a planning event and select 'Edit event'.
2. Change the Event Name and Description.
3. Select 'Save Changes'.
4. Read the list row.</t>
  </si>
  <si>
    <t>The window titled 'Edit event' saves and the new name shows in the list. A material change to an event that was already approved sends it back to planning and asks the Department Head again.</t>
  </si>
  <si>
    <t>ADM-072</t>
  </si>
  <si>
    <t>A completed event or one with attendance cannot be edited</t>
  </si>
  <si>
    <t>Signed in as Admin 900001 (President of PSITS-CCS). Use the password from the tester sheet. Use an event that is completed or already has attendance records.</t>
  </si>
  <si>
    <t xml:space="preserve">1. Open the row menu of that event and select 'Edit event'.
2. Change the Event Name.
3. Select 'Save Changes'.</t>
  </si>
  <si>
    <t>The change is refused with 'Event details cannot be changed after attendance has been recorded or the event is completed.' The old name stays.</t>
  </si>
  <si>
    <t>ADM-073</t>
  </si>
  <si>
    <t>Returned event: read the remarks, edit and resubmit</t>
  </si>
  <si>
    <t>Signed in as Admin 900001 (President of PSITS-CCS). Use the password from the tester sheet. The Department Head (940001) has returned your event with remarks. Do this with the Department Head player.</t>
  </si>
  <si>
    <t xml:space="preserve">1. Find the event with the red text 'Returned:' and the remarks in the list.
2. Open it with 'View event' and read the next-step line.
3. Select 'Edit event', change something and select 'Save Changes'.
4. Read the stage line again.</t>
  </si>
  <si>
    <t>The remarks are visible on the row and in the window. After saving the stage goes back to 'Waiting for Department Head' and the Department Head sees it again.</t>
  </si>
  <si>
    <t>ADM-074</t>
  </si>
  <si>
    <t>Change an approved event to Ongoing and Completed</t>
  </si>
  <si>
    <t>Signed in as Admin 900001 (President of PSITS-CCS). Use the password from the tester sheet. An approved event exists (the Department Head has approved it).</t>
  </si>
  <si>
    <t xml:space="preserve">1. Open the event with 'View event'.
2. In 'Update Event Status' select 'Mark Ongoing'.
3. Read the status badge.
4. Select 'Mark Completed'.</t>
  </si>
  <si>
    <t>The status becomes Ongoing, then Completed. A completed event offers no more status buttons and a next step 'Prepare event report' appears.</t>
  </si>
  <si>
    <t>ADM-075</t>
  </si>
  <si>
    <t>A planning event cannot be started or completed, only cancelled</t>
  </si>
  <si>
    <t>Signed in as Admin 900001 (President of PSITS-CCS). Use the password from the tester sheet. An event still waiting for approval (stage Waiting for Department Head).</t>
  </si>
  <si>
    <t xml:space="preserve">1. Open Events and tasks &gt; Events.
2. Open that event with 'View event'.
3. Look at 'Update Event Status'.</t>
  </si>
  <si>
    <t>Only 'Mark Cancelled' is offered. There is no Mark Ongoing or Mark Completed. If forced, the system answers 'Event must be approved through the approval workflow.'</t>
  </si>
  <si>
    <t>ADM-076</t>
  </si>
  <si>
    <t>Cancel an event that cannot be deleted</t>
  </si>
  <si>
    <t>Signed in as Admin 900001 (President of PSITS-CCS). Use the password from the tester sheet. An event that has a budget, files, attendance or an approved venue booking.</t>
  </si>
  <si>
    <t xml:space="preserve">1. Open the row menu of the event.
2. Look for 'Delete event' and 'Cancel event'.
3. Select 'Cancel event'.
4. In 'Cancel this event?' select 'Cancel event'.</t>
  </si>
  <si>
    <t>Delete is not offered; Cancel event is. After confirming the status shows Cancelled, pending and approved venue bookings for it are withdrawn, and a cancelled event cannot be reopened. 'Keep event' closes the dialog without change.</t>
  </si>
  <si>
    <t>ADM-077</t>
  </si>
  <si>
    <t>Delete an event that has nothing attached</t>
  </si>
  <si>
    <t>Signed in as Admin 900001 (President of PSITS-CCS). Use the password from the tester sheet. A new test event in planning with no files, budget, booking or attendance.</t>
  </si>
  <si>
    <t xml:space="preserve">1. Open the row menu of the test event.
2. Select 'Delete event'.
3. Read the dialog 'Delete this event?'.
4. Select 'Delete event'.</t>
  </si>
  <si>
    <t>The event leaves the list. The dialog warned that tasks, attendance, registrations, the approval request and files go too, and that it cannot be undone.</t>
  </si>
  <si>
    <t>ADM-078</t>
  </si>
  <si>
    <t>Search, date, status and sort in the events list</t>
  </si>
  <si>
    <t xml:space="preserve">1. Type part of an event name in 'Search events'.
2. Pick a date in 'Event date'.
3. Choose a value in 'Status'.
4. Change 'Sort by' to 'Title' and 'Latest date'.
5. Select the clear option when nothing matches.</t>
  </si>
  <si>
    <t>The list narrows for each filter and the count updates. With no match the page says 'No events match these filters' and offers to clear them. Page size can be changed to 10, 25 or 50.</t>
  </si>
  <si>
    <t>ADM-079</t>
  </si>
  <si>
    <t>Calendar view of events</t>
  </si>
  <si>
    <t xml:space="preserve">1. Open Events and tasks &gt; Events.
2. Select 'Calendar view'.
3. Select an event on the calendar.
4. Select 'List view'.</t>
  </si>
  <si>
    <t>The calendar shows the events by date and the event window opens when one is selected. The List view returns the table. The old address /dashboard/events/activity-calendar also opens the calendar view for an Admin.</t>
  </si>
  <si>
    <t>ADM-080</t>
  </si>
  <si>
    <t>See who registered for an approved event</t>
  </si>
  <si>
    <t>Signed in as Admin 900001 (President of PSITS-CCS). Use the password from the tester sheet. An approved event exists; a student has registered (Student 2100142 can do it).</t>
  </si>
  <si>
    <t xml:space="preserve">1. Open the approved event with 'View event'.
2. Scroll to 'Registrations'.
3. Read the list and the page buttons.</t>
  </si>
  <si>
    <t>The registered students are listed with status Registered or Cancelled. For an event nobody joined, the text reads 'No one has registered yet. Students see a Register button on this event once it is approved.'</t>
  </si>
  <si>
    <t>ADM-081</t>
  </si>
  <si>
    <t>Events and tasks &gt; Planning</t>
  </si>
  <si>
    <t>Draft an editable to-do list for an event</t>
  </si>
  <si>
    <t>Signed in as Admin 900001 (President of PSITS-CCS). Use the password from the tester sheet. An approved event that starts at least a day from now exists, with active SBO officers and positions. AI drafting is off on the public copy, so use a LAN copy or expect the message in step 5.</t>
  </si>
  <si>
    <t xml:space="preserve">1. Open Events and tasks &gt; Planning.
2. Choose the event in 'Event'.
3. Optionally type something in 'Optional planning context'.
4. Select 'Draft Editable To-do List'.
5. Read the result.</t>
  </si>
  <si>
    <t>A draft appears under 'Ready for your review' with a count of suggested to-do items and the tag 'Nothing saved yet'. If the AI service is off the page says 'We could not create a reliable to-do list right now. Please wait a moment and try again.'</t>
  </si>
  <si>
    <t>VERIFY: whether a rule-based draft appears when the AI service is off.</t>
  </si>
  <si>
    <t>ADM-082</t>
  </si>
  <si>
    <t>Review, change and save the to-do list</t>
  </si>
  <si>
    <t>Signed in as Admin 900001 (President of PSITS-CCS). Use the password from the tester sheet. A draft is on screen from the case above.</t>
  </si>
  <si>
    <t xml:space="preserve">1. Change a 'Task name' and a 'Due date and time'.
2. For each item open 'Assign to *' and choose an officer (use 'Review officers' to see the ranking).
3. Look at 'Save and Assign Tasks' while one item has no officer.
4. Assign every item and select 'Save and Assign Tasks'.</t>
  </si>
  <si>
    <t>Save stays off until every item has an officer. After saving, the message says tasks were saved and each officer was notified, and the tasks appear in 'Assigned Event Tasks' and in Events and tasks &gt; Tasks.</t>
  </si>
  <si>
    <t>ADM-083</t>
  </si>
  <si>
    <t>Remove a draft; an event with a saved list is not planned twice</t>
  </si>
  <si>
    <t xml:space="preserve">1. Create a draft and select 'Remove Draft'.
2. Read the page.
3. Choose an event that already has a saved to-do list and select 'Draft Editable To-do List' again.</t>
  </si>
  <si>
    <t>Remove Draft says no tasks were created. The second attempt is refused with 'This event already has a saved to-do list. Existing tasks will not be replaced.'</t>
  </si>
  <si>
    <t>ADM-084</t>
  </si>
  <si>
    <t>An event starting in less than five minutes cannot be planned; empty state without events</t>
  </si>
  <si>
    <t>Signed in as Admin 900001 (President of PSITS-CCS). Use the password from the tester sheet. An event that starts within five minutes, and a second account with no events (Admin 990042).</t>
  </si>
  <si>
    <t xml:space="preserve">1. Open Events and tasks &gt; Planning.
2. Choose the event that starts very soon and select 'Draft Editable To-do List'.
3. Sign out and sign in as 990042.
4. Open Events and tasks &gt; Planning.</t>
  </si>
  <si>
    <t>The first is refused with 'Choose an event that starts at least five minutes from now so its tasks can be scheduled.' The second account shows 'No event to plan yet' with 'Propose your first event'.</t>
  </si>
  <si>
    <t>ADM-085</t>
  </si>
  <si>
    <t>Events and tasks &gt; Tasks</t>
  </si>
  <si>
    <t>Tasks board: counts, Board and Progress views, filters</t>
  </si>
  <si>
    <t xml:space="preserve">1. Open Events and tasks &gt; Tasks.
2. Read the seven counts (Total Tasks, Event-Related, Standalone, Pending, In Progress, Completed, Overdue).
3. Switch between 'Board' and 'Progress'.
4. Use 'Filter tasks by status', 'by assignee', 'by type' and 'by priority'.
5. Type a word in 'Search tasks, assignees, or events'.</t>
  </si>
  <si>
    <t>Counts and the table respond to every filter. Progress shows the Officer Workload and task completion per assignee. With no match the list shows an empty state.</t>
  </si>
  <si>
    <t>ADM-086</t>
  </si>
  <si>
    <t>Create a standalone task with the officer recommendation</t>
  </si>
  <si>
    <t>Signed in as Admin 900001 (President of PSITS-CCS). Use the password from the tester sheet. Round 2: the SAO has added and activated a semester that covers the test dates (docs/MEMBER_TESTING.md section 3). Active SBO officers with positions exist (900004 to 900007).</t>
  </si>
  <si>
    <t xml:space="preserve">1. Select 'New task'.
2. Keep 'Standalone task' and type a 'Task Title *'.
3. Choose a Deadline of today or later.
4. Select 'Review officer recommendation' and choose an officer from the list (the first is marked Recommended).
5. Select 'Create Task'.</t>
  </si>
  <si>
    <t>The task is created for the chosen officer and a success message shows. The officer is notified. The task appears in the board as Pending.</t>
  </si>
  <si>
    <t>ADM-087</t>
  </si>
  <si>
    <t>Create an event-related task</t>
  </si>
  <si>
    <t>Signed in as Admin 900001 (President of PSITS-CCS). Use the password from the tester sheet. An event exists in your organization.</t>
  </si>
  <si>
    <t xml:space="preserve">1. Select 'New task' and choose 'Event-related task'.
2. Look at 'Related Event *' and leave it on 'Select an event'.
3. Fill the title and deadline and review the officer recommendation.
4. Choose an event and an officer, then select 'Create Task'.</t>
  </si>
  <si>
    <t>Create Task stays off until an event is chosen. The saved task shows 'Event task' with the event name in its details.</t>
  </si>
  <si>
    <t>ADM-088</t>
  </si>
  <si>
    <t>Create task: gates and refusals</t>
  </si>
  <si>
    <t xml:space="preserve">1. Open 'New task' and look at 'Assign To *' before any recommendation.
2. Type a title and a Deadline in the past, review the recommendation and select 'Create Task'.
3. Clear the title and look at the button.
4. Use 'Clear Form'.</t>
  </si>
  <si>
    <t>'Assign To *' is off until 'Review officer recommendation' is used. A past deadline is refused with a message about the date. Create Task is off while title, deadline or officer is missing. Clear Form empties everything.</t>
  </si>
  <si>
    <t>ADM-089</t>
  </si>
  <si>
    <t>No officer positions: the task form tells you what to do</t>
  </si>
  <si>
    <t>Use Admin 990042 (EIG-COE adviser), which has no officers.</t>
  </si>
  <si>
    <t xml:space="preserve">1. Open Events and tasks &gt; Tasks and select 'New task'.
2. Read the amber box.
3. Select 'Review officer recommendation' after typing a title.</t>
  </si>
  <si>
    <t>The box says 'Officer positions must be configured first.' The recommendation says 'No eligible officers are available.' and no task can be created.</t>
  </si>
  <si>
    <t>ADM-090</t>
  </si>
  <si>
    <t>Task details, progress update and completion</t>
  </si>
  <si>
    <t>Signed in as Admin 900001 (President of PSITS-CCS). Use the password from the tester sheet. A task assigned to an officer exists.</t>
  </si>
  <si>
    <t xml:space="preserve">1. Open the row menu of a task and select 'View task'.
2. Read the stage line and 'Progress History'.
3. Use 'Start task' if the task is Pending.
4. In 'Add Progress Update' type a note and a Progress (%) and select 'Save Progress Update'.
5. Select 'Complete task' and then 'Confirm Completion'.</t>
  </si>
  <si>
    <t>The details show Assigned officer, Priority, Category, Required position, Progress and Academic period. A note is required before a progress update can be saved (progress is held below 100). Completing sets Progress to 100% and the status to Completed.</t>
  </si>
  <si>
    <t>ADM-091</t>
  </si>
  <si>
    <t>Edit and delete a task</t>
  </si>
  <si>
    <t>Signed in as Admin 900001 (President of PSITS-CCS). Use the password from the tester sheet. A task you created.</t>
  </si>
  <si>
    <t xml:space="preserve">1. Open the row menu of the task and select 'Edit task'.
2. Change the Priority and the Deadline and select 'Save changes'.
3. Open the row menu and select 'Delete task'.
4. In 'Delete this task?' select 'Delete task'.</t>
  </si>
  <si>
    <t>The change is saved. After deleting, the task and its progress history are gone from the list.</t>
  </si>
  <si>
    <t>ADM-092</t>
  </si>
  <si>
    <t>Overdue tasks are marked and counted</t>
  </si>
  <si>
    <t>Signed in as Admin 900001 (President of PSITS-CCS). Use the password from the tester sheet. Some seeded tasks are already past their deadline. If none are, ask the demo owner to run the overdue job.</t>
  </si>
  <si>
    <t xml:space="preserve">1. Open Events and tasks &gt; Tasks.
2. Look at the 'Overdue' count.
3. Choose 'Overdue' in 'Filter tasks by status'.
4. Open one of the tasks.</t>
  </si>
  <si>
    <t>Late tasks show the status Overdue and the same number as the Overdue count. The stage line says the task is overdue.</t>
  </si>
  <si>
    <t>VERIFY: seed data may contain no overdue task.</t>
  </si>
  <si>
    <t>ADM-093</t>
  </si>
  <si>
    <t>Events and tasks &gt; AI delegation</t>
  </si>
  <si>
    <t>AI delegation shows the ranking behind each assignment</t>
  </si>
  <si>
    <t>Signed in as Admin 900001 (President of PSITS-CCS). Use the password from the tester sheet. At least one task was created with a recommendation.</t>
  </si>
  <si>
    <t xml:space="preserve">1. Open Events and tasks &gt; AI delegation.
2. Read 'AI Task Suggestions'.
3. Open 'Full officer ranking' if it is shown.
4. Read 'How AI Delegation Works'.</t>
  </si>
  <si>
    <t>Each delegated task shows 'Recommended: &lt;officer&gt;' with Role, Workload, Performance and Recency scores. The ranking lists every eligible officer with a score and a short explanation. The rules list the weights (role 35%, workload 30%, performance 20%, recency 15%). Without the AI service a rule-based engine badge shows.</t>
  </si>
  <si>
    <t>ADM-094</t>
  </si>
  <si>
    <t>Events and tasks &gt; Check-in</t>
  </si>
  <si>
    <t>Check-in preselects the ongoing event and records a manual arrival</t>
  </si>
  <si>
    <t>Signed in as Admin 900001 (President of PSITS-CCS). Use the password from the tester sheet. An event is Ongoing (see the status case). MEMBER_TESTING section 4, Admin journey 4.</t>
  </si>
  <si>
    <t xml:space="preserve">1. Open Events and tasks &gt; Check-in.
2. Read the line 'N events open for check-in' and the Event queue.
3. In 'Member' type 2100142 and choose the student from the list.
4. Leave 'Attendance status' on Present.
5. Select 'Confirm Check-In'.</t>
  </si>
  <si>
    <t>The ongoing event is already selected with a 'Live now' tag. The page says 'Check-in recorded.' and the member appears in the attendance log with Method Manual and the counts go up.</t>
  </si>
  <si>
    <t>ADM-095</t>
  </si>
  <si>
    <t>Check in the same member twice</t>
  </si>
  <si>
    <t>Signed in as Admin 900001 (President of PSITS-CCS). Use the password from the tester sheet. A member is already checked in for the ongoing event.</t>
  </si>
  <si>
    <t xml:space="preserve">1. Open Events and tasks &gt; Check-in.
2. Search the same member in 'Member'.
3. Select 'Confirm Check-In'.</t>
  </si>
  <si>
    <t>The second record is refused with 'This member is already checked in for this event.' and the log still holds one row.</t>
  </si>
  <si>
    <t>ADM-096</t>
  </si>
  <si>
    <t>Attendance status choices and the attendance log</t>
  </si>
  <si>
    <t>Signed in as Admin 900001 (President of PSITS-CCS). Use the password from the tester sheet. An ongoing event with a few arrivals.</t>
  </si>
  <si>
    <t xml:space="preserve">1. Check in one member as Late and another as Excused.
2. In the log, type a name in 'Search attendee or academic profile'.
3. Choose 'Late' in 'Filter attendance status'.
4. Select 'Export CSV'.</t>
  </si>
  <si>
    <t>The four choices are Present, Late, Excused and Absent. The log filters by name and status, shows Check In / Out and Recorded By, and the CSV downloads with only the matching rows.</t>
  </si>
  <si>
    <t>ADM-097</t>
  </si>
  <si>
    <t>No ongoing event, and closed check-in</t>
  </si>
  <si>
    <t xml:space="preserve">1. Make sure no event is Ongoing, then open Events and tasks &gt; Check-in.
2. Read the note under the count.
3. Select 'Go to Events'.
4. Open a completed event from the queue if it is listed.</t>
  </si>
  <si>
    <t>The page says 'No event is ongoing right now.' with a link to Events. A completed event shows 'Check-in is closed' with the final register only.</t>
  </si>
  <si>
    <t>ADM-098</t>
  </si>
  <si>
    <t>Check-in finds only members of your own organization</t>
  </si>
  <si>
    <t>Signed in as Admin 900001 (President of PSITS-CCS). Use the password from the tester sheet. An ongoing event.</t>
  </si>
  <si>
    <t xml:space="preserve">1. Open Events and tasks &gt; Check-in.
2. In 'Member' type 2400118 (a student of another organization).
3. Read the message under the box.</t>
  </si>
  <si>
    <t>The box shows 'No matching members found.' and Confirm Check-In stays off.</t>
  </si>
  <si>
    <t>ADM-099</t>
  </si>
  <si>
    <t>Fingerprint check-in (needs the reader and an enrolled member)</t>
  </si>
  <si>
    <t>Signed in as Admin 900001 (President of PSITS-CCS). Use the password from the tester sheet. DigitalPersona reader connected; the member has an enrolled fingerprint.</t>
  </si>
  <si>
    <t xml:space="preserve">1. Open Events and tasks &gt; Check-in with an ongoing event.
2. Find the fingerprint panel next to 'Manual check-in'.
3. Ask the member to place the enrolled finger.
4. Read the result.</t>
  </si>
  <si>
    <t>Without a reader the panel says the scanner is not connected. With one, the member is identified with one scan and an arrival with Method Biometric appears in the log.</t>
  </si>
  <si>
    <t>ADM-100</t>
  </si>
  <si>
    <t>Events and tasks &gt; Venue booking</t>
  </si>
  <si>
    <t>Venue booking page: find a venue and see its availability</t>
  </si>
  <si>
    <t>Signed in as Admin 900001 (President of PSITS-CCS). Use the password from the tester sheet. The SAO has listed at least one venue.</t>
  </si>
  <si>
    <t xml:space="preserve">1. Open Events and tasks &gt; Venue booking.
2. Choose a venue in 'Venue'.
3. Change 'From' and 'To' dates.
4. Read the availability under the venue name.</t>
  </si>
  <si>
    <t>The page shows 'Find a venue' with capacity and a timeline of pending and approved bookings. Other organizations appear only as 'Another organization'. With no venues the page says 'No venues available yet'.</t>
  </si>
  <si>
    <t>ADM-101</t>
  </si>
  <si>
    <t>Request a venue booking</t>
  </si>
  <si>
    <t>Signed in as Admin 900001 (President of PSITS-CCS). Use the password from the tester sheet. The SAO has listed a venue.</t>
  </si>
  <si>
    <t xml:space="preserve">1. Select 'Request a venue'.
2. Keep 'On campus' and choose a 'Venue'.
3. Set 'Start' and 'End' on the same day between 5:00 AM and 10:00 PM.
4. Optionally choose 'Link to an event'.
5. Select 'Send request'.</t>
  </si>
  <si>
    <t>A window 'Booking request sent' shows 'Venue request #N' with the status Pending and the note that this is a reference, not an approval. The request appears under 'My organization's requests' as Pending.</t>
  </si>
  <si>
    <t>ADM-102</t>
  </si>
  <si>
    <t>Booking time rules: one day only, 5 AM to 10 PM, end after start</t>
  </si>
  <si>
    <t xml:space="preserve">1. Select 'Request a venue'.
2. Set Start at 4:00 AM and End at 6:00 AM and select 'Send request'.
3. Set Start on one day and End on the next day and send.
4. Set End before Start and send.</t>
  </si>
  <si>
    <t>Each attempt is refused with a red message such as 'Choose a time on one day between 5:00 AM and 10:00 PM.' or 'The end time must be after the start time.' No request is created.</t>
  </si>
  <si>
    <t>ADM-103</t>
  </si>
  <si>
    <t>Two requests for the same venue and time</t>
  </si>
  <si>
    <t>Signed in as Admin 900001 (President of PSITS-CCS). Use the password from the tester sheet. A pending or approved booking exists for the chosen venue and time (from another account or an earlier request).</t>
  </si>
  <si>
    <t xml:space="preserve">1. Select 'Request a venue' and choose the same venue.
2. Pick a time that overlaps the existing booking.
3. Select 'Send request'.</t>
  </si>
  <si>
    <t>The request is refused with 'This venue already has a pending or approved booking during that time. Choose another slot.'</t>
  </si>
  <si>
    <t>ADM-104</t>
  </si>
  <si>
    <t>Request an off-campus venue</t>
  </si>
  <si>
    <t xml:space="preserve">1. Select 'Request an off-campus venue'.
2. Leave 'Off-campus location' empty and select 'Send request'.
3. Type a location and set the times.
4. Select 'Send request'.</t>
  </si>
  <si>
    <t>The empty location is refused (it asks for a venue or an off-campus location and both times). With a location the request is sent and listed.</t>
  </si>
  <si>
    <t>ADM-105</t>
  </si>
  <si>
    <t>Withdraw a booking request</t>
  </si>
  <si>
    <t>Signed in as Admin 900001 (President of PSITS-CCS). Use the password from the tester sheet. A Pending request exists.</t>
  </si>
  <si>
    <t xml:space="preserve">1. In 'My organization's requests' select 'Withdraw' on the Pending row.
2. Read the dialog 'Withdraw this booking request?'.
3. Select 'Withdraw request'.</t>
  </si>
  <si>
    <t>The toast reads 'Booking request withdrawn.' and the row shows Withdrawn. An approved booking that has not started can also be withdrawn; a past one cannot.</t>
  </si>
  <si>
    <t>ADM-106</t>
  </si>
  <si>
    <t>A rejected booking shows the SAO remarks and can be requested again</t>
  </si>
  <si>
    <t>Signed in as Admin 900001 (President of PSITS-CCS). Use the password from the tester sheet. The SAO has rejected a request with remarks (SAO player decides under Reviews &gt; Venues).</t>
  </si>
  <si>
    <t xml:space="preserve">1. Open Events and tasks &gt; Venue booking.
2. Find the row with status Rejected and read the SAO remarks column.
3. Open the row.
4. Select the button to book again.</t>
  </si>
  <si>
    <t>The remarks are visible on the row and in the details. The details offer a way to request again and the request form opens.</t>
  </si>
  <si>
    <t>ADM-107</t>
  </si>
  <si>
    <t>Approvals page has To review and Submitted by me</t>
  </si>
  <si>
    <t xml:space="preserve">1. Open Approvals.
2. Read the two tabs: 'To review' and 'Submitted by me'.
3. On 'To review' switch between the buttons 'Pending' and 'All History'.
4. Open 'Submitted by me' and switch between 'All', 'Waiting', 'Approved' and 'Rejected'.</t>
  </si>
  <si>
    <t>To review lists what other people sent to you (officer announcements, student payments). Submitted by me lists your own events, budgets, elections and reports with their stage and who they wait for. A short empty message appears when a list is empty ('Nothing to review', 'Nothing submitted yet').</t>
  </si>
  <si>
    <t>ADM-108</t>
  </si>
  <si>
    <t>Track a submission: the row stage equals the event page stage</t>
  </si>
  <si>
    <t>Signed in as Admin 900001 (President of PSITS-CCS). Use the password from the tester sheet. MEMBER_TESTING section 4, Admin journey 3. You proposed an event that waits for the Department Head.</t>
  </si>
  <si>
    <t xml:space="preserve">1. Open Approvals and select 'Submitted by me'.
2. Find the row of your event and read its stage text.
3. Select 'Open event: &lt;title&gt;'.
4. Read the next-step line in the event window.</t>
  </si>
  <si>
    <t>The stage text on the row (Waiting for Department Head approval) is the same as the next-step line in the event window.</t>
  </si>
  <si>
    <t>ADM-109</t>
  </si>
  <si>
    <t>Approve an officer's announcement</t>
  </si>
  <si>
    <t>Signed in as Admin 900001 (President of PSITS-CCS). Use the password from the tester sheet. Officer 900004 has sent an announcement for approval (Updates &gt; Announcements &gt; New announcement &gt; Submit for approval).</t>
  </si>
  <si>
    <t xml:space="preserve">1. Open Approvals &gt; To review.
2. Open the announcement request.
3. Select Approve and confirm with an optional note.
4. Open Updates &gt; Feed.</t>
  </si>
  <si>
    <t>The request moves to Approved. The announcement is now published and shows in the Feed for its audience. The officer is notified.</t>
  </si>
  <si>
    <t>ADM-110</t>
  </si>
  <si>
    <t>Reject an officer's announcement with a reason</t>
  </si>
  <si>
    <t>Signed in as Admin 900001 (President of PSITS-CCS). Use the password from the tester sheet. Officer 900004 has sent an announcement for approval.</t>
  </si>
  <si>
    <t xml:space="preserve">1. Open Approvals &gt; To review and open the request.
2. Select Reject.
3. Type remarks and confirm.
4. Sign in as 900004 and open Updates &gt; Announcements.</t>
  </si>
  <si>
    <t>The request shows Rejected. The officer sees 'Returned by the Admin' with the remarks and can edit and send it again. It is not published.</t>
  </si>
  <si>
    <t>ADM-111</t>
  </si>
  <si>
    <t>Your own requests are not in To review</t>
  </si>
  <si>
    <t>Signed in as Admin 900001 (President of PSITS-CCS). Use the password from the tester sheet. You have a pending submission (an event or a budget).</t>
  </si>
  <si>
    <t xml:space="preserve">1. Open Approvals &gt; To review.
2. Look for your own event or budget.
3. Open Submitted by me and open the same item.</t>
  </si>
  <si>
    <t>Your own request is not in To review and has no Approve or Reject button. You cannot approve your own request; the system answers 'You cannot review your own approval request.' if forced.</t>
  </si>
  <si>
    <t>ADM-112</t>
  </si>
  <si>
    <t>New request picker sends you to the right form</t>
  </si>
  <si>
    <t xml:space="preserve">1. On Approvals select 'New request'.
2. Read the four types: Announcement, Budget proposal, Event proposal, Election and the line saying who approves each.
3. Choose 'Budget proposal' and continue.
4. Go back and choose 'Event proposal' and continue.</t>
  </si>
  <si>
    <t>Announcement says 'You publish it yourself.' Budget, Event and Election say who approves them. Budget opens the Propose budget form and Event opens the New event form.</t>
  </si>
  <si>
    <t>ADM-113</t>
  </si>
  <si>
    <t>Finance &gt; Budgets</t>
  </si>
  <si>
    <t>Propose a budget</t>
  </si>
  <si>
    <t>Signed in as Admin 900001 (President of PSITS-CCS). Use the password from the tester sheet. MEMBER_TESTING section 4, Admin journey 2.</t>
  </si>
  <si>
    <t xml:space="preserve">1. Open Finance &gt; Budgets and select 'Propose budget'.
2. Type a Title, for example Sports Fest Budget.
3. Type Allocated Amount 5000 and Warning Threshold 1000.
4. Optionally choose a Linked Event.
5. Select 'Submit for Approval'.</t>
  </si>
  <si>
    <t>The form closes. The budget shows in the list with status pending, a stepper at 'Waiting for Department Head approval', Allocated 5,000.00, Remaining 5,000.00 and Warning at 1,000.00.</t>
  </si>
  <si>
    <t>ADM-114</t>
  </si>
  <si>
    <t>Budget form: threshold above the amount, zero amount, empty title</t>
  </si>
  <si>
    <t xml:space="preserve">1. Select 'Propose budget'.
2. Leave the title empty and look at 'Submit for Approval'.
3. Type a title, Allocated Amount 1000 and Warning Threshold 2000 and submit.
4. Type Allocated Amount 0 and submit.</t>
  </si>
  <si>
    <t>Submit stays off with an empty title. A threshold above the amount is refused with a message under the form (the warning threshold cannot exceed the allocated amount). A zero amount is refused (the amount must be at least 0.01). No budget is created.</t>
  </si>
  <si>
    <t>ADM-115</t>
  </si>
  <si>
    <t>Budget details and the approval steps</t>
  </si>
  <si>
    <t xml:space="preserve">1. On Finance &gt; Budgets select 'View details' on a budget.
2. Read the stepper and the next-step sentence.
3. Read Allocated, Remaining and Warning at.</t>
  </si>
  <si>
    <t>The drawer shows the steps Proposed, Second review, Approved, Spending, Reported, one next-step sentence and the three amounts. An approved budget says 'Approved: record spending against it'.</t>
  </si>
  <si>
    <t>ADM-116</t>
  </si>
  <si>
    <t>A returned budget is edited and resubmitted</t>
  </si>
  <si>
    <t>Signed in as Admin 900001 (President of PSITS-CCS). Use the password from the tester sheet. The Department Head (940001) has rejected one of your budgets with remarks. Do this with the Department Head player.</t>
  </si>
  <si>
    <t xml:space="preserve">1. Open the returned budget with 'View details'.
2. Read the remarks and the next step.
3. Select 'Edit and resubmit'.
4. Change the amount and select 'Resubmit for Approval'.</t>
  </si>
  <si>
    <t>The form title is 'Edit budget' and says that saving sends the budget back to the Department Head. The budget goes back to 'Waiting for Department Head approval'.</t>
  </si>
  <si>
    <t>ADM-117</t>
  </si>
  <si>
    <t>Delete a budget that is still pending</t>
  </si>
  <si>
    <t>Signed in as Admin 900001 (President of PSITS-CCS). Use the password from the tester sheet. A pending budget you created for testing.</t>
  </si>
  <si>
    <t xml:space="preserve">1. Find the pending budget in the list.
2. Select 'Delete budget'.
3. Read the dialog 'Delete this budget?'.
4. Confirm with 'Delete budget'.</t>
  </si>
  <si>
    <t>The message reads 'Budget deleted.' and the budget is gone. An approved budget has no 'Delete budget' button.</t>
  </si>
  <si>
    <t>ADM-118</t>
  </si>
  <si>
    <t>A budget with ledger entries cannot be deleted</t>
  </si>
  <si>
    <t>Signed in as Admin 900001 (President of PSITS-CCS). Use the password from the tester sheet. An approved budget that already has at least one ledger entry (the seed has these). This is critical scenario 5 from CLAUDE.md.</t>
  </si>
  <si>
    <t xml:space="preserve">1. Open Finance &gt; Budgets and find an approved budget with spending.
2. Look at its buttons.
3. Ask a technical teammate to send a delete request for that budget, if the button is missing.
4. Read the answer.</t>
  </si>
  <si>
    <t>The list gives no 'Delete budget' button for an approved budget. The request is refused with 409: 'Cannot delete an approved budget. It stays on record as the allocation that was approved.' A budget that is not approved but has entries is refused with 'Cannot delete a budget that has existing transactions. Remove all transactions first.' VERIFY which message appears for your budget.</t>
  </si>
  <si>
    <t>ADM-119</t>
  </si>
  <si>
    <t>Finance &gt; Ledger</t>
  </si>
  <si>
    <t>Ledger page: totals, table and filters</t>
  </si>
  <si>
    <t xml:space="preserve">1. Open Finance &gt; Ledger.
2. Read Ledger net balance, Income, Expenses, Net balance and Ledger entries.
3. Use 'Filter by transaction type' and 'Filter by event'.
4. Set 'Filter from date' and 'Filter to date'.
5. Use the page buttons 'Previous transaction page' and 'Next transaction page'.</t>
  </si>
  <si>
    <t>Totals and rows follow the filters. Each row shows description, payer / recorder, category, amount, source and receipt. With no match the page says 'No matching transactions'. A new organization sees 'No transactions recorded yet'.</t>
  </si>
  <si>
    <t>ADM-120</t>
  </si>
  <si>
    <t>Record an expense against an approved budget</t>
  </si>
  <si>
    <t>Signed in as Admin 900001 (President of PSITS-CCS). Use the password from the tester sheet. An approved budget with money left. Note its Remaining amount first.</t>
  </si>
  <si>
    <t xml:space="preserve">1. Select 'Record transaction'.
2. Type a Description, an Amount of 500, Type Expense, a Category and today as Date.
3. Choose the approved budget in 'Linked Budget'.
4. Type a 'Receipt Reference'.
5. Select 'Save Transaction'.</t>
  </si>
  <si>
    <t>The entry shows in the ledger and in the totals. In Finance &gt; Budgets the budget's Remaining is 500.00 lower.</t>
  </si>
  <si>
    <t>ADM-121</t>
  </si>
  <si>
    <t>Record income raises the budget's remaining amount</t>
  </si>
  <si>
    <t>Signed in as Admin 900001 (President of PSITS-CCS). Use the password from the tester sheet. An approved budget. Note its Remaining amount.</t>
  </si>
  <si>
    <t xml:space="preserve">1. Select 'Record transaction'.
2. Choose Type Income, Amount 300, a Linked Budget and a Date.
3. Select 'Save Transaction'.
4. Open Finance &gt; Budgets.</t>
  </si>
  <si>
    <t>The income appears in the ledger and the budget's Remaining is 300.00 higher.</t>
  </si>
  <si>
    <t>ADM-122</t>
  </si>
  <si>
    <t>Transaction form: required values and amount rules</t>
  </si>
  <si>
    <t xml:space="preserve">1. Select 'Record transaction'.
2. Look at 'Save Transaction' with Description empty.
3. Type a Description and the Amount 0.
4. Try a negative Amount.
5. Clear the Date.</t>
  </si>
  <si>
    <t>Save Transaction stays off until Description, Amount and Date are filled. An amount below 0.01 is refused by the box or by the page. No entry is created.</t>
  </si>
  <si>
    <t>ADM-123</t>
  </si>
  <si>
    <t>Only an approved budget can be linked to a transaction</t>
  </si>
  <si>
    <t>Signed in as Admin 900001 (President of PSITS-CCS). Use the password from the tester sheet. A budget that is still pending.</t>
  </si>
  <si>
    <t xml:space="preserve">1. Select 'Record transaction'.
2. Open 'Linked Budget' and look at the pending budget.
3. Try to pick it.</t>
  </si>
  <si>
    <t>The pending budget is listed with its status in brackets and cannot be chosen. If forced, the system answers 'The selected budget must belong to this organization and be approved.'</t>
  </si>
  <si>
    <t>ADM-124</t>
  </si>
  <si>
    <t>A receipt reference cannot be used twice</t>
  </si>
  <si>
    <t>Signed in as Admin 900001 (President of PSITS-CCS). Use the password from the tester sheet. A ledger entry with a receipt reference exists.</t>
  </si>
  <si>
    <t xml:space="preserve">1. Select 'Record transaction'.
2. Fill the required values.
3. Type the same 'Receipt Reference' as the existing entry.
4. Select 'Save Transaction'.</t>
  </si>
  <si>
    <t>The save is refused with a message under the form that the receipt reference is already used.</t>
  </si>
  <si>
    <t>ADM-125</t>
  </si>
  <si>
    <t>Edit and delete a manual transaction</t>
  </si>
  <si>
    <t>Signed in as Admin 900001 (President of PSITS-CCS). Use the password from the tester sheet. A manual entry you made (not a system entry).</t>
  </si>
  <si>
    <t xml:space="preserve">1. Open the row menu of your entry and select 'Edit transaction'.
2. Change the Amount and select 'Update Transaction'.
3. Open the row menu and select 'Delete transaction'.
4. In 'Delete this transaction?' select 'Delete transaction'.</t>
  </si>
  <si>
    <t>The change is saved and the budget's Remaining follows. After deleting, the toast reads 'Transaction deleted.' and the budget's Remaining returns to its earlier value.</t>
  </si>
  <si>
    <t>ADM-126</t>
  </si>
  <si>
    <t>System entries cannot be edited or deleted here</t>
  </si>
  <si>
    <t>Signed in as Admin 900001 (President of PSITS-CCS). Use the password from the tester sheet. A ledger entry that came from a verified collection, a paid order or an invoice payment.</t>
  </si>
  <si>
    <t xml:space="preserve">1. Find an entry with a source such as Collection or Order.
2. Open its row menu or look for Edit and Delete.
3. Read the note on the row.</t>
  </si>
  <si>
    <t>The entry has no Edit or Delete, and a note says where to change it (for example 'Change it from Collections.' or 'Change it from Manage Orders.'). If forced, the system answers with that same message (409).</t>
  </si>
  <si>
    <t>ADM-127</t>
  </si>
  <si>
    <t>Entries inside a submitted report are locked</t>
  </si>
  <si>
    <t>Signed in as Admin 900001 (President of PSITS-CCS). Use the password from the tester sheet. A financial report that was submitted and contains the entry. Do the report cases first.</t>
  </si>
  <si>
    <t xml:space="preserve">1. Find an entry that falls inside a submitted report.
2. Try 'Edit transaction' and 'Delete transaction'.
3. Read the note.</t>
  </si>
  <si>
    <t>The entry is locked. The note says it is part of the submitted report and to ask the Department Head to return the report first (409 if forced).</t>
  </si>
  <si>
    <t>ADM-128</t>
  </si>
  <si>
    <t>Finance &gt; Collections and advances</t>
  </si>
  <si>
    <t>Record a collection (it waits for another admin)</t>
  </si>
  <si>
    <t xml:space="preserve">1. Open Finance &gt; Collections and advances and select 'Record collection'.
2. Type a Source, for example Membership dues, and Amount collected 1000.
3. Optionally add Expected amount and Notes.
4. Select 'Record collection'.</t>
  </si>
  <si>
    <t>The page says 'Collection recorded. Another admin must verify it before it appears in the ledger.' The row shows pending and your own account sees no Verify button on it.</t>
  </si>
  <si>
    <t>ADM-129</t>
  </si>
  <si>
    <t>A different admin verifies the collection and the ledger gets one income entry</t>
  </si>
  <si>
    <t>Signed in as Admin 900001 (President of PSITS-CCS). Use the password from the tester sheet. A second Admin of the same organization (900002) is needed for the two-person rules. Use the password from the tester sheet. A pending collection recorded by 900001.</t>
  </si>
  <si>
    <t xml:space="preserve">1. Sign in as 900002 and open Finance &gt; Collections and advances.
2. On the pending collection select 'Verify'.
3. Confirm the question.
4. Open Finance &gt; Ledger.</t>
  </si>
  <si>
    <t>The page says 'Collection verified and added to the ledger.' and the ledger holds one income entry for it. If 900001 tries to verify its own collection the system refuses with 'You cannot verify your own collection.'</t>
  </si>
  <si>
    <t>ADM-130</t>
  </si>
  <si>
    <t>Record a remittance, but never more than what is left</t>
  </si>
  <si>
    <t>Signed in as Admin 900001 (President of PSITS-CCS). Use the password from the tester sheet. A verified collection with money not yet remitted.</t>
  </si>
  <si>
    <t xml:space="preserve">1. On the verified collection select 'Remit'.
2. Type an Amount larger than the amount shown as Available.
3. Select 'Record remittance'.
4. Type a smaller amount and submit again.</t>
  </si>
  <si>
    <t>The larger amount is refused ('Remittance cannot exceed the unremitted collection balance.'). The smaller one works with 'Remittance recorded. Ledger income remains unchanged.'</t>
  </si>
  <si>
    <t>ADM-131</t>
  </si>
  <si>
    <t>Cash advance: request, approval by another admin, release and repayment</t>
  </si>
  <si>
    <t>Signed in as Admin 900001 (President of PSITS-CCS). Use the password from the tester sheet. A second Admin of the same organization (900002) is needed for the two-person rules. Use the password from the tester sheet.</t>
  </si>
  <si>
    <t xml:space="preserve">1. As 900001 select 'Request cash advance' and fill Amount (PHP) 2000 and Purpose.
2. Read the row: it says 'Another admin approves your request.'
3. Sign in as 900002 and select 'Approve', then 'Release funds'.
4. As 900001 select 'Record repayment' with Amount repaid 500.</t>
  </si>
  <si>
    <t>The requester cannot approve (the system says 'You cannot approve your own cash advance.'). After approval and release the ledger records the money out; the repayment is recorded and the balance drops. A repayment above the outstanding balance is refused with 'Repayment cannot exceed the outstanding balance.'</t>
  </si>
  <si>
    <t>ADM-132</t>
  </si>
  <si>
    <t>Finance &gt; Student accounts</t>
  </si>
  <si>
    <t>Student accounts page: totals, filters and search</t>
  </si>
  <si>
    <t xml:space="preserve">1. Open Finance &gt; Student accounts.
2. Read Total Outstanding, Students Owing, Overdue Accounts, Cleared Students.
3. Choose 'Has outstanding debt' in 'Financial status'.
4. Type a name in the search box and change 'Sort accounts'.
5. Select 'Clear all filters'.</t>
  </si>
  <si>
    <t>Totals and the table follow the filters (10 rows per page). With no match the page says 'No student accounts match these filters'. An organization without members sees 'No student accounts yet' with an 'Add members' button.</t>
  </si>
  <si>
    <t>ADM-133</t>
  </si>
  <si>
    <t>Add a student charge and see it on the student's statement</t>
  </si>
  <si>
    <t>Signed in as Admin 900001 (President of PSITS-CCS). Use the password from the tester sheet. Student 2100142 can sign in to check.</t>
  </si>
  <si>
    <t xml:space="preserve">1. Select 'Add student charge'.
2. Type Student school ID 2100142, Amount due 150, Description Organization fee and a Due date.
3. Select 'Add charge'.
4. Sign in as Student 2100142 and open My payments &gt; Statement of account.</t>
  </si>
  <si>
    <t>The toast reads 'Student charge added successfully.' The student's statement shows the invoice and the balance went up by 150.00.</t>
  </si>
  <si>
    <t>ADM-134</t>
  </si>
  <si>
    <t>A charge for someone outside the organization is refused</t>
  </si>
  <si>
    <t xml:space="preserve">1. Select 'Add student charge'.
2. Type Student school ID 2400118 (a student of another organization).
3. Fill amount and description and select 'Add charge'.</t>
  </si>
  <si>
    <t>The charge is refused with 'The student must belong to your organization.' and shows in the form.</t>
  </si>
  <si>
    <t>ADM-135</t>
  </si>
  <si>
    <t>Record a payment on an invoice (never above the balance)</t>
  </si>
  <si>
    <t>Signed in as Admin 900001 (President of PSITS-CCS). Use the password from the tester sheet. A student with an open invoice.</t>
  </si>
  <si>
    <t xml:space="preserve">1. Open the row menu of the student and select 'View account'.
2. Select 'Record payment' on an invoice.
3. Type an amount larger than the remaining balance and select 'Record payment'.
4. Type the exact remaining balance and submit.</t>
  </si>
  <si>
    <t>The larger amount is refused ('Payment cannot exceed the invoice balance.'). The exact amount works, the toast reads 'Payment recorded and the balance was updated.' and the invoice is closed.</t>
  </si>
  <si>
    <t>ADM-136</t>
  </si>
  <si>
    <t>Cancel or waive an invoice (reason required)</t>
  </si>
  <si>
    <t>Signed in as Admin 900001 (President of PSITS-CCS). Use the password from the tester sheet. An invoice with nothing paid on it.</t>
  </si>
  <si>
    <t xml:space="preserve">1. Open 'View account' for the student.
2. Select 'Cancel or waive' on the invoice.
3. Choose 'Cancel: charged in error' or 'Waive: student is excused'.
4. Leave the Reason empty and submit, then type a reason and submit.</t>
  </si>
  <si>
    <t>The reason is required. After saving the toast reads 'Invoice cancelled and removed from the balance.' or 'Invoice waived and removed from the balance.' An invoice with a partial payment shows no Cancel or waive link.</t>
  </si>
  <si>
    <t>ADM-137</t>
  </si>
  <si>
    <t>Finance &gt; Financial reports</t>
  </si>
  <si>
    <t>Add a financial semester</t>
  </si>
  <si>
    <t xml:space="preserve">1. Open Finance &gt; Financial reports.
2. Open 'Need a new semester? Add one here'.
3. Type a 'Semester name' and a 'Start date' in the past, then select 'Add'.
4. Try again with a Start date in the future.
5. Try the same semester name again.</t>
  </si>
  <si>
    <t>The semester is added and appears in the 'Semester' list. A future start date and a repeated name are refused with a message. Tick 'End today' to end it today.</t>
  </si>
  <si>
    <t>ADM-138</t>
  </si>
  <si>
    <t>Generate a semester financial report</t>
  </si>
  <si>
    <t>Signed in as Admin 900001 (President of PSITS-CCS). Use the password from the tester sheet. A financial semester exists and the ledger has entries.</t>
  </si>
  <si>
    <t xml:space="preserve">1. Under 'Prepare a report' choose the document 'Financial Report'.
2. Keep 'Covered period' on Semester and choose the semester.
3. Type names in Treasurer, President, Adviser and SBO Adviser.
4. Select 'Generate Financial Report'.
5. Select 'Preview / print', 'Excel' and 'Download PDF'.</t>
  </si>
  <si>
    <t>A result block shows Income, Expenses and Closing balance and the report is saved as a draft in the list below. The three buttons open or download the report.</t>
  </si>
  <si>
    <t>ADM-139</t>
  </si>
  <si>
    <t>Generate an income statement with a letter</t>
  </si>
  <si>
    <t xml:space="preserve">1. Choose the document 'Income Statement'.
2. Fill Letter date, Subject, Recipient, Letter body and Closing, or leave them to use defaults.
3. Fill the four signatory names and a Covered period.
4. Select 'Generate Income Statement'.</t>
  </si>
  <si>
    <t>The report is created with Net income instead of Closing balance. Empty letter fields use the defaults ('Submission of Income Statement', 'To whom it may concern', 'Thank you.').</t>
  </si>
  <si>
    <t>ADM-140</t>
  </si>
  <si>
    <t>Report for one event (after the event is completed)</t>
  </si>
  <si>
    <t>Signed in as Admin 900001 (President of PSITS-CCS). Use the password from the tester sheet. A completed event. MEMBER_TESTING section 4, Admin journey 4.</t>
  </si>
  <si>
    <t xml:space="preserve">1. Open the completed event with 'View event'.
2. Select 'Prepare event report'.
3. Check that 'One event' and the event are preselected.
4. Fill the four signatory names and select 'Generate Financial Report'.</t>
  </si>
  <si>
    <t>A draft report appears in the list with the stage 'Step 1 of 4: Draft' and the text 'Review and submit'.</t>
  </si>
  <si>
    <t>ADM-141</t>
  </si>
  <si>
    <t>Report form: signatories, custom dates and letterhead</t>
  </si>
  <si>
    <t xml:space="preserve">1. Leave one signatory name empty and select 'Generate Financial Report'.
2. Choose Covered period 'Custom dates' and set End date before Start date.
3. Under 'Letterhead image' choose a file larger than 5 MB.</t>
  </si>
  <si>
    <t>The browser asks for every signatory name. An end date before the start is refused. A letterhead above 5 MB is refused with 'The letterhead image must be 5 MB or smaller.' No report is created.</t>
  </si>
  <si>
    <t>ADM-142</t>
  </si>
  <si>
    <t>Submit a draft report with supporting files</t>
  </si>
  <si>
    <t>Signed in as Admin 900001 (President of PSITS-CCS). Use the password from the tester sheet. A draft report exists. Prepare a PDF and an image as supporting files.</t>
  </si>
  <si>
    <t xml:space="preserve">1. In the report list select 'View details' on the draft.
2. Select 'Supporting files' and choose the PDF and the image.
3. Read the line '2 file(s) attached'.
4. Select 'Submit for review'.</t>
  </si>
  <si>
    <t>The report stage becomes 'Waiting for Department Head approval'. Supporting files are listed for reviewers. Ledger entries inside the report become locked.</t>
  </si>
  <si>
    <t>ADM-143</t>
  </si>
  <si>
    <t>Supporting files: wrong type, too big, too many</t>
  </si>
  <si>
    <t>Signed in as Admin 900001 (President of PSITS-CCS). Use the password from the tester sheet. A draft report. Have a .exe or .zip file, a file larger than 10 MB, and more than 10 small files ready.</t>
  </si>
  <si>
    <t xml:space="preserve">1. Open 'View details' on the draft and choose the wrong-type file.
2. Select 'Submit for review'.
3. Try the file larger than 10 MB.
4. Try more than 10 files.</t>
  </si>
  <si>
    <t>Each attempt is refused with a message about the file type, size (10 MB each) or the limit of 10 files. The report stays a draft.</t>
  </si>
  <si>
    <t>ADM-144</t>
  </si>
  <si>
    <t>Only a draft or returned report can be submitted</t>
  </si>
  <si>
    <t>Signed in as Admin 900001 (President of PSITS-CCS). Use the password from the tester sheet. A report already waiting for the Department Head.</t>
  </si>
  <si>
    <t xml:space="preserve">1. Open 'View details' on the submitted report.
2. Look for the submit button.
3. Ask a technical teammate to send a submit request for it, if possible.</t>
  </si>
  <si>
    <t>There is no 'Submit for review' button on a submitted report. If forced, the system answers 'Only draft or rejected reports can be submitted.' A report whose ledger changed after it was generated is refused with 'The ledger changed after this report was generated. Regenerate the report before submitting.'</t>
  </si>
  <si>
    <t>ADM-145</t>
  </si>
  <si>
    <t>A returned report is fixed and resubmitted</t>
  </si>
  <si>
    <t>Signed in as Admin 900001 (President of PSITS-CCS). Use the password from the tester sheet. The Department Head has returned a report with remarks.</t>
  </si>
  <si>
    <t xml:space="preserve">1. Open the returned report with 'View details'.
2. Read the sentence 'Returned: fix and resubmit'.
3. Select 'Resubmit for review'.</t>
  </si>
  <si>
    <t>The report goes back to Waiting for Department Head approval.</t>
  </si>
  <si>
    <t>ADM-146</t>
  </si>
  <si>
    <t>Report list: search, filters and empty states; log exports</t>
  </si>
  <si>
    <t xml:space="preserve">1. In the Financial reports list type in 'Search reports'.
2. Use 'Filter reports by status', 'by document' and 'by event'.
3. Select 'Export Excel' and 'Print / Save PDF' on 'Full Transaction Log' and 'Category Breakdown'.</t>
  </si>
  <si>
    <t>The list narrows for each filter or says 'No saved reports match these filters'. A new organization sees 'No saved reports yet'. The exports download or open a print view.</t>
  </si>
  <si>
    <t>ADM-147</t>
  </si>
  <si>
    <t>Finance &gt; Forecast</t>
  </si>
  <si>
    <t>Generate a forecast</t>
  </si>
  <si>
    <t>Signed in as Admin 900001 (President of PSITS-CCS). Use the password from the tester sheet. The ledger holds entries for several months. AI is off on the public copy; a rule-based engine is used.</t>
  </si>
  <si>
    <t xml:space="preserve">1. Open Finance &gt; Forecast.
2. Select 'Generate forecast'.
3. Wait for 'Generating...' to end.
4. Read the new forecast card.</t>
  </si>
  <si>
    <t>A card 'Forecast for &lt;period&gt;' shows Income, Balance, Safe spend, Risk, an engine badge and sample month counts. A chart shows the history. Weak data brings a warning 'Weak confidence in this projection...'.</t>
  </si>
  <si>
    <t>ADM-148</t>
  </si>
  <si>
    <t>Forecast with too little history, and the empty state</t>
  </si>
  <si>
    <t>Use Admin 990042 (EIG-COE adviser), which has no ledger history.</t>
  </si>
  <si>
    <t xml:space="preserve">1. Open Finance &gt; Forecast.
2. Read the page.
3. Select 'Generate forecast'.</t>
  </si>
  <si>
    <t>The page says 'No forecasts yet' and explains that a few months of ledger history are needed. Generating gives an error or a warning instead of a confident number.</t>
  </si>
  <si>
    <t>VERIFY: exact message.</t>
  </si>
  <si>
    <t>ADM-149</t>
  </si>
  <si>
    <t>Delete a forecast</t>
  </si>
  <si>
    <t>Signed in as Admin 900001 (President of PSITS-CCS). Use the password from the tester sheet. A forecast exists.</t>
  </si>
  <si>
    <t xml:space="preserve">1. Open Finance &gt; Forecast.
2. On a forecast card select 'Delete forecast'.
3. In 'Delete this forecast?' select 'Delete forecast'.</t>
  </si>
  <si>
    <t>The toast reads 'Forecast deleted.' and the card is gone. A new one can be generated later.</t>
  </si>
  <si>
    <t>ADM-150</t>
  </si>
  <si>
    <t>Officer and Department Head can only view finance pages (Admin edits)</t>
  </si>
  <si>
    <t>Signed in as Admin 900001 (President of PSITS-CCS). Use the password from the tester sheet. Officer 900004 or Department Head 940001 can also sign in.</t>
  </si>
  <si>
    <t xml:space="preserve">1. As the Admin note the buttons 'Propose budget' and 'Record transaction'.
2. Sign in as Officer 900004 and open Finance &gt; Budgets and Ledger.
3. Look for the same buttons.</t>
  </si>
  <si>
    <t>The Admin sees the buttons. The officer sees the pages with the note 'View only. You can review and export these records; the organization admin records and changes them.' and no Propose budget or Record transaction button.</t>
  </si>
  <si>
    <t>ADM-151</t>
  </si>
  <si>
    <t>Voting &gt; Elections</t>
  </si>
  <si>
    <t>Elections page: cards, counts, search and status filter</t>
  </si>
  <si>
    <t>Signed in as Admin 900001 (President of PSITS-CCS). Use the password from the tester sheet. Round 1 (no semester opened yet) still shows the seeded election; Round 2 needs the SAO to add and activate a semester that covers the test dates, after which the seeded election leaves the list (docs/MEMBER_TESTING.md section 3).</t>
  </si>
  <si>
    <t xml:space="preserve">1. Open Voting &gt; Elections.
2. Read the four counts: Total elections, Live voting, Awaiting approval, Closed.
3. Type a word in 'Search by election title...'.
4. Choose a value in 'Filter elections by status'.
5. Read one election card.</t>
  </si>
  <si>
    <t>The page shows election cards with status, schedule, a progress line, and counts of Positions, Candidates and Votes. With no match it says 'No elections match'. An organization without elections sees 'Create your first election'. Six cards show per page.</t>
  </si>
  <si>
    <t>ADM-152</t>
  </si>
  <si>
    <t>Create an election and submit it for approval</t>
  </si>
  <si>
    <t>Signed in as Admin 900001 (President of PSITS-CCS). Use the password from the tester sheet. Round 1 (no semester opened yet) still shows the seeded election; Round 2 needs the SAO to add and activate a semester that covers the test dates, after which the seeded election leaves the list (docs/MEMBER_TESTING.md section 3). Prepare a small PDF for the informative letter.</t>
  </si>
  <si>
    <t xml:space="preserve">1. Select 'Create election'.
2. Choose the PDF in 'Informative letter (PDF) *'.
3. Type an 'Election title *' and set 'Voting starts *' and 'Voting ends *'.
4. Select 'Add executive positions' (or type your own positions).
5. Select 'Submit for approval'.</t>
  </si>
  <si>
    <t>The toast reads 'Election submitted for approval.' A new card shows the status Pending Approval, the line 'Awaiting Department Head review' and the tag 'In review'.</t>
  </si>
  <si>
    <t>ADM-153</t>
  </si>
  <si>
    <t>Election form: end before start, duplicate positions, no positions</t>
  </si>
  <si>
    <t xml:space="preserve">1. Select 'Create election' and fill the title and the letter.
2. Set 'Voting ends *' earlier than 'Voting starts *' and select 'Submit for approval'.
3. Fix the times, type the same position title twice and submit.
4. Remove all position titles and submit.</t>
  </si>
  <si>
    <t>Messages: 'Voting end time must be after the start time.'; 'Election position titles must be unique.'; 'Add at least one election position.' No election is created.</t>
  </si>
  <si>
    <t>ADM-154</t>
  </si>
  <si>
    <t>Election form: voting period outside the active semester, and letter not a PDF</t>
  </si>
  <si>
    <t>Signed in as Admin 900001 (President of PSITS-CCS). Use the password from the tester sheet. The SAO has activated a semester. Prepare a .docx file.</t>
  </si>
  <si>
    <t xml:space="preserve">1. Select 'Create election'.
2. Set both times outside the active semester and submit.
3. Choose the .docx file in 'Informative letter (PDF) *' and submit.</t>
  </si>
  <si>
    <t>The first is refused with 'The voting period must fall within the active semester.' The .docx is refused because only PDF up to 10 MB is accepted. No election is created.</t>
  </si>
  <si>
    <t>ADM-155</t>
  </si>
  <si>
    <t>Building the ballot waits for the Department Head</t>
  </si>
  <si>
    <t>Signed in as Admin 900001 (President of PSITS-CCS). Use the password from the tester sheet. An election that is still Pending Approval.</t>
  </si>
  <si>
    <t xml:space="preserve">1. Open the pending election with 'Open election'.
2. Read the status chip and the next-step box.
3. Try the buttons in the step strip (Party lists, Candidates).</t>
  </si>
  <si>
    <t>The box says 'Awaiting Department Head review' and no 'Finalize ballot' button is available. If forced the system answers 'Only an approved election awaiting voting can be finalized.' The Department Head 940001 (College of Computer Studies) approves the election; do this step with the Department Head player.</t>
  </si>
  <si>
    <t>ADM-156</t>
  </si>
  <si>
    <t>A returned election is edited and resubmitted</t>
  </si>
  <si>
    <t>Signed in as Admin 900001 (President of PSITS-CCS). Use the password from the tester sheet. The Department Head has returned your election with a reason.</t>
  </si>
  <si>
    <t xml:space="preserve">1. Open Voting &gt; Elections and find the card marked 'Returned'.
2. Read 'Reason:' on the card.
3. Select 'Edit and resubmit'.
4. Change the schedule and select 'Save changes'.</t>
  </si>
  <si>
    <t>The toast reads 'Election updated and sent back for approval.' and the card goes back to 'Awaiting Department Head review'.</t>
  </si>
  <si>
    <t>ADM-157</t>
  </si>
  <si>
    <t>Edit an election; no edits after votes or closing</t>
  </si>
  <si>
    <t>Signed in as Admin 900001 (President of PSITS-CCS). Use the password from the tester sheet. An upcoming election and a closed or voted election.</t>
  </si>
  <si>
    <t xml:space="preserve">1. On an upcoming card select 'Edit', change the title and select 'Save changes'.
2. On a card that already has votes, try to edit the title or schedule.
3. Look at a Closed card for an 'Edit' button.</t>
  </si>
  <si>
    <t>The first change saves with 'Election updated.' With votes the system refuses with 'Election details cannot be changed after votes have been cast.' A Closed election has no Edit button ('Closed election details cannot be changed.').</t>
  </si>
  <si>
    <t>ADM-158</t>
  </si>
  <si>
    <t>Delete an election: allowed only before voting</t>
  </si>
  <si>
    <t>Signed in as Admin 900001 (President of PSITS-CCS). Use the password from the tester sheet. An election you created for testing that is not open and has no votes, and an open or closed election.</t>
  </si>
  <si>
    <t xml:space="preserve">1. On the test election select 'Delete'.
2. Read the dialog 'Delete Election'.
3. Select 'Delete'.
4. Look at the buttons on an open or closed election.</t>
  </si>
  <si>
    <t>The toast reads 'Election deleted.' An open or closed election has no Delete button; if forced the system says 'An open election cannot be deleted. Close it instead to keep the results.', 'Closed elections cannot be deleted.' or 'This election already has cast votes and cannot be deleted.'</t>
  </si>
  <si>
    <t>ADM-159</t>
  </si>
  <si>
    <t>Election workspace: header, steps and role banner</t>
  </si>
  <si>
    <t>Signed in as Admin 900001 (President of PSITS-CCS). Use the password from the tester sheet. An approved election.</t>
  </si>
  <si>
    <t xml:space="preserve">1. Select 'Open election' on an approved election.
2. Read the banner and the progress stepper.
3. Read the step strip: Overview, Party lists, Candidates, Voters, Results.
4. Select 'Change election'.</t>
  </si>
  <si>
    <t>The banner reads 'You run this election: build the ballot, finalize it, open voting, and release the results.' Steps are numbered in process order. Results is greyed with a reason until voting opens. 'Change election' returns to the cards.</t>
  </si>
  <si>
    <t>ADM-160</t>
  </si>
  <si>
    <t>Add and remove a ballot position</t>
  </si>
  <si>
    <t>Signed in as Admin 900001 (President of PSITS-CCS). Use the password from the tester sheet. An approved election whose ballot is not finalized.</t>
  </si>
  <si>
    <t xml:space="preserve">1. In the workspace open Overview and select 'Add Position'.
2. Type a Position Title and set Max Winners.
3. Select 'Add Position' in the dialog.
4. Type the same title again and add it.
5. Select 'Remove' on a position and confirm 'Remove Election Position'.</t>
  </si>
  <si>
    <t>The position shows with 'Up to N winner(s)'. A repeated title is refused ('This position already exists in the election.'). Removing a position works until votes exist ('Cannot delete a position that already has votes cast.').</t>
  </si>
  <si>
    <t>ADM-161</t>
  </si>
  <si>
    <t>Register a party list</t>
  </si>
  <si>
    <t xml:space="preserve">1. Open the step 'Party lists' and select 'Register New Party'.
2. Type the party name and an acronym, a description and choose a banner image.
3. Select 'Register Partylist'.
4. Try to register the same name again.</t>
  </si>
  <si>
    <t>The message reads 'Partylist registered.' and the party shows in the roster. A repeated name is refused with 'A partylist with this name already exists.' A banner that is not JPEG, PNG or WebP (or over 5 MB) is refused.</t>
  </si>
  <si>
    <t>ADM-162</t>
  </si>
  <si>
    <t>Edit a party list and delete one with candidates</t>
  </si>
  <si>
    <t>Signed in as Admin 900001 (President of PSITS-CCS). Use the password from the tester sheet. A party list with an assigned candidate and another without candidates.</t>
  </si>
  <si>
    <t xml:space="preserve">1. Select 'Edit list' on a party, change the Official Party Name and save.
2. Try to remove the party that has candidates.
3. Remove the party without candidates and confirm 'Remove Partylist'.</t>
  </si>
  <si>
    <t>The edit saves with 'Partylist updated.' The party with candidates cannot be deleted ('Cannot delete a partylist that has active candidates assigned to it.'). The empty party is removed.</t>
  </si>
  <si>
    <t>ADM-163</t>
  </si>
  <si>
    <t>Add a candidate</t>
  </si>
  <si>
    <t>Signed in as Admin 900001 (President of PSITS-CCS). Use the password from the tester sheet. An approved election with a position and a party list. A JPEG photo under 2 MB is ready.</t>
  </si>
  <si>
    <t xml:space="preserve">1. Open the step 'Candidates' and select 'Add Candidate'.
2. Search a student with 'Search student...' and choose them.
3. Choose the position, a Party List (or Independent), a Candidate Photo and a Platform Statement.
4. Select 'Add Candidate' in the dialog.</t>
  </si>
  <si>
    <t>The candidate shows under their position with the party list. A photo that is not JPEG, PNG or WebP or is over 2 MB is refused.</t>
  </si>
  <si>
    <t>ADM-164</t>
  </si>
  <si>
    <t>Candidate rules: students only, one position per election</t>
  </si>
  <si>
    <t>Signed in as Admin 900001 (President of PSITS-CCS). Use the password from the tester sheet. A student is already a candidate in the election.</t>
  </si>
  <si>
    <t xml:space="preserve">1. Select 'Add Candidate' and search an Admin or officer name.
2. Search the student who is already a candidate and try to add them to a second position.
3. Read the messages.</t>
  </si>
  <si>
    <t>Only students are listed ('No students found.' for non-students). A second assignment of the same student is refused with 'This student is already assigned as a candidate in this election.'</t>
  </si>
  <si>
    <t>ADM-165</t>
  </si>
  <si>
    <t>Edit and remove a candidate</t>
  </si>
  <si>
    <t>Signed in as Admin 900001 (President of PSITS-CCS). Use the password from the tester sheet. A candidate with no votes.</t>
  </si>
  <si>
    <t xml:space="preserve">1. Open the candidate's 'View candidate details' or edit button.
2. In 'Edit Candidate' change the Platform Statement and save.
3. Select remove and confirm 'Remove Candidate'.</t>
  </si>
  <si>
    <t>The change saves. The candidate is removed. A candidate who already has votes cannot be removed ('Cannot delete a candidate that already has votes cast.').</t>
  </si>
  <si>
    <t>ADM-166</t>
  </si>
  <si>
    <t>Finalize needs a candidate for every position and one party list candidate</t>
  </si>
  <si>
    <t>Signed in as Admin 900001 (President of PSITS-CCS). Use the password from the tester sheet. An approved election with at least one position without a candidate.</t>
  </si>
  <si>
    <t xml:space="preserve">1. On the election Overview read the box 'Before the ballot can be finalized'.
2. Look at the button 'Finalize ballot'.
3. Add candidates to every position and put one in a party list.
4. Select 'Finalize ballot'.</t>
  </si>
  <si>
    <t>The list shows Positions on the ballot, 'Positions without candidates: N' and 'Party list candidates'. The Finalize button is off with the reason shown until all three are met. After finalizing the page says 'Position setup is locked for this election.' If forced early the system says 'Add at least one candidate to every ballot position before finalizing.' or 'Assign at least one candidate to a party list before finalizing.'</t>
  </si>
  <si>
    <t>ADM-167</t>
  </si>
  <si>
    <t>A finalized ballot is locked</t>
  </si>
  <si>
    <t>Signed in as Admin 900001 (President of PSITS-CCS). Use the password from the tester sheet. A finalized election.</t>
  </si>
  <si>
    <t xml:space="preserve">1. Open the election Overview and look for 'Add Position' and 'Remove'.
2. Open Party lists and Candidates and look for add and edit buttons.
3. Read the amber notes.</t>
  </si>
  <si>
    <t>Position changes are blocked ('Position setup is locked for this election.'). Party lists and candidates cannot be changed ('The ballot has been finalized and cannot be changed.').</t>
  </si>
  <si>
    <t>ADM-168</t>
  </si>
  <si>
    <t>Open voting, watch turnout in Voters, then close the election</t>
  </si>
  <si>
    <t>Signed in as Admin 900001 (President of PSITS-CCS). Use the password from the tester sheet. A finalized election whose voting time has started or can be opened by hand.</t>
  </si>
  <si>
    <t xml:space="preserve">1. On the election card or its next-step box select 'Open voting'.
2. Open the step 'Voters' and read Total Voters, Not Yet Voted and Election Status.
3. Type a name or ID in 'Search by name or school ID...' and use All, Voted, Not Yet.
4. Back on the card select 'Close'.</t>
  </si>
  <si>
    <t>The toast reads 'Election opened for voting.' and the status shows Live (Voting open). Voters lists members with their vote status (10 per page). After Close the toast reads 'Election closed.' and the status is Closed. Opening before the ballot is finalized is refused ('Finalize the candidate and party list ballot before opening voting.').</t>
  </si>
  <si>
    <t>ADM-169</t>
  </si>
  <si>
    <t>Admin votes in an open election, only once</t>
  </si>
  <si>
    <t>Signed in as Admin 900001 (President of PSITS-CCS). Use the password from the tester sheet. An open election. Admins, officers and students may vote.</t>
  </si>
  <si>
    <t xml:space="preserve">1. Open My activity &gt; Vote.
2. Open the ballot of the open election and choose one candidate for every position.
3. Review and submit the ballot.
4. Open My activity &gt; Vote again and try to vote in the same election.</t>
  </si>
  <si>
    <t>A receipt is shown after the ballot. The election shows as 'Voted'. A second try is refused with 'You have already voted in this election.'</t>
  </si>
  <si>
    <t>ADM-170</t>
  </si>
  <si>
    <t>Voting after the election closes is refused</t>
  </si>
  <si>
    <t>Signed in as Admin 900001 (President of PSITS-CCS). Use the password from the tester sheet. An open election and two browser windows. This is critical scenario 8 from CLAUDE.md.</t>
  </si>
  <si>
    <t xml:space="preserve">1. In window 1 open the ballot page of the open election and choose candidates but do not submit.
2. In window 2 select 'Close' on the election card.
3. In window 1 submit the ballot.
4. Read the message.</t>
  </si>
  <si>
    <t>The vote is refused and no vote is recorded. The page says 'This election is not currently accepting votes' (the CLAUDE.md note words it as 'This election is no longer active'). VERIFY the wording shown.</t>
  </si>
  <si>
    <t>ADM-171</t>
  </si>
  <si>
    <t>Voting &gt; Results</t>
  </si>
  <si>
    <t>Results page: live totals and final results</t>
  </si>
  <si>
    <t>Signed in as Admin 900001 (President of PSITS-CCS). Use the password from the tester sheet. An open or closed election with some votes.</t>
  </si>
  <si>
    <t xml:space="preserve">1. Open Voting &gt; Results.
2. Read the title ('Live vote totals' or 'Official final results').
3. Read the Winner spotlight.
4. Use 'Filter by position' and pick one position.</t>
  </si>
  <si>
    <t>Vote totals and percentages show for each candidate and position. A closed election shows declared winners. With no votes yet the page shows zero totals without an error.</t>
  </si>
  <si>
    <t>ADM-172</t>
  </si>
  <si>
    <t>Results are not available before voting opens</t>
  </si>
  <si>
    <t>Signed in as Admin 900001 (President of PSITS-CCS). Use the password from the tester sheet. An upcoming election with an unfinalized ballot.</t>
  </si>
  <si>
    <t xml:space="preserve">1. Open Voting &gt; Elections and open the upcoming election.
2. Read the step strip and look at 'Results'.
3. Open Voting &gt; Results.
4. Read the page.</t>
  </si>
  <si>
    <t>The page says 'Election results are not available yet.' and 'Vote totals appear once the finalized ballot opens. Winners are declared after closing.' The Results step in the workspace is greyed with a reason.</t>
  </si>
  <si>
    <t>ADM-173</t>
  </si>
  <si>
    <t>Store &gt; Inventory</t>
  </si>
  <si>
    <t>Inventory page: counts, top sellers, catalog, search and category filter</t>
  </si>
  <si>
    <t xml:space="preserve">1. Open Store &gt; Inventory.
2. Read Total Items, Low Stock, Active Orders and Revenue.
3. Read 'Top sellers'.
4. Type in 'Search items...'.
5. Choose a category in 'Filter inventory by category'.</t>
  </si>
  <si>
    <t>Counts, the top sellers list and the product cards follow the search and category. Cards show price, stock and Low Stock or Out of Stock badges. With no match the page says 'No items match these filters.' A new organization sees 'No items yet.' with 'Add your first item'.</t>
  </si>
  <si>
    <t>ADM-174</t>
  </si>
  <si>
    <t>Add a product</t>
  </si>
  <si>
    <t xml:space="preserve">1. Select 'Add product'.
2. Type an 'Item Name *', for example HIUSA T-Shirt (XL).
3. Choose a category, type a Unit Price of 250 and an Initial Stock of 20.
4. Leave Selling Status on Active and optionally add a Product Image.
5. Select 'Add Product' in the dialog.</t>
  </si>
  <si>
    <t>The product card appears with 250 per unit and 20 units, ACTIVE. Students can see it in the Shop.</t>
  </si>
  <si>
    <t>ADM-175</t>
  </si>
  <si>
    <t>Product form: empty name, negative price, negative stock, bad image</t>
  </si>
  <si>
    <t xml:space="preserve">1. Select 'Add product'.
2. Leave the name empty and look at the button 'Add Product'.
3. Type a negative price and then a negative stock and try 'Add Product'.
4. Choose a PDF or an image over 5 MB as Product Image and try 'Add Product'.</t>
  </si>
  <si>
    <t>'Add Product' stays off until Item Name, category, Unit Price and Initial Stock (or a variant) are filled. Negative numbers and a bad or too large image are refused by the box or with a message. No product is created.</t>
  </si>
  <si>
    <t>ADM-176</t>
  </si>
  <si>
    <t>Add sizes (variants) with their own stock</t>
  </si>
  <si>
    <t xml:space="preserve">1. Select 'Add product' and type the name and price.
2. In 'Sizes and variants' select 'Add variant'.
3. Type a name in 'Size / variant' and a stock count, and add a second variant.
4. Save the product.</t>
  </si>
  <si>
    <t>The card lists each variant with its stock (for example S: 5, M: 10). Customers pick a size when ordering.</t>
  </si>
  <si>
    <t>ADM-177</t>
  </si>
  <si>
    <t>Add stock to a product (a reason is required)</t>
  </si>
  <si>
    <t>Signed in as Admin 900001 (President of PSITS-CCS). Use the password from the tester sheet. A product with known stock.</t>
  </si>
  <si>
    <t xml:space="preserve">1. On the product card select 'Add Stock'.
2. Type Quantity to Add 10 and leave the reason empty, then try to confirm.
3. Type 'New delivery received' in 'Reason for stock addition'.
4. Confirm.
5. Try Quantity 0.</t>
  </si>
  <si>
    <t>The reason is required. After confirming the stock goes up by 10 and 'View audit history' records the change. A quantity below 1 is refused.</t>
  </si>
  <si>
    <t>ADM-178</t>
  </si>
  <si>
    <t>Edit a product; changing stock needs a note</t>
  </si>
  <si>
    <t xml:space="preserve">1. On a product card select 'Edit' (the dialog is 'Edit Product').
2. Change the price and select 'Save Changes'.
3. Change the stock number, leave the note empty and select 'Save Changes'.
4. Type a note in the box 'Required when changing product or variant stock' and select 'Save Changes'.</t>
  </si>
  <si>
    <t>A price change saves. A stock change without a note is refused. With a note it saves and the audit history shows the old and new numbers.</t>
  </si>
  <si>
    <t>ADM-179</t>
  </si>
  <si>
    <t>Deactivate an item; an item with pending or paid orders cannot be deactivated</t>
  </si>
  <si>
    <t>Signed in as Admin 900001 (President of PSITS-CCS). Use the password from the tester sheet. A product with no orders and a product with a pending or paid order.</t>
  </si>
  <si>
    <t xml:space="preserve">1. Select the red power button 'Deactivate &lt;name&gt;' on the product with no orders.
2. Read the dialog and confirm.
3. Try the same on the product with a pending or paid order.</t>
  </si>
  <si>
    <t>The dialog says students will not be able to order it and that it stays in the catalog. The first product switches to INACTIVE. The second is refused with 'Cannot deactivate an item with pending or paid orders.'</t>
  </si>
  <si>
    <t>ADM-180</t>
  </si>
  <si>
    <t>Selling status switch hides an item from the Shop</t>
  </si>
  <si>
    <t>Signed in as Admin 900001 (President of PSITS-CCS). Use the password from the tester sheet. Student 2100142 can sign in.</t>
  </si>
  <si>
    <t xml:space="preserve">1. Use the ACTIVE / INACTIVE switch on a product to make it INACTIVE and confirm.
2. Sign in as Student 2100142 and open Store &gt; Shop.
3. Look for the product.</t>
  </si>
  <si>
    <t>The inactive product is not shown to the student. Switching it back to ACTIVE shows it again.</t>
  </si>
  <si>
    <t>ADM-181</t>
  </si>
  <si>
    <t>Upload the GCash QR code</t>
  </si>
  <si>
    <t>Signed in as Admin 900001 (President of PSITS-CCS). Use the password from the tester sheet. A PNG or JPG of a QR code under 5 MB, and a PDF.</t>
  </si>
  <si>
    <t xml:space="preserve">1. Select 'Set up GCash' (or the GCash settings on the page).
2. Select 'Save GCash QR' without choosing a file.
3. Choose the PDF and save.
4. Choose the QR image and save.</t>
  </si>
  <si>
    <t>No file gives 'Choose a QR image to upload.' The PDF is refused (PNG, JPG or WEBP only, up to 5 MB). The image saves with 'GCash QR code updated. Students can now use it at merchandise checkout.'</t>
  </si>
  <si>
    <t>ADM-182</t>
  </si>
  <si>
    <t>Store &gt; Orders</t>
  </si>
  <si>
    <t>Orders page: queue, summary, search and filters</t>
  </si>
  <si>
    <t xml:space="preserve">1. Open Store &gt; Orders.
2. Read the order summary numbers.
3. Type an order number or student name in 'Search order, student, item, reference...'.
4. Use 'Filter orders by status', 'Payment method', 'Year level' and 'Sort orders'.</t>
  </si>
  <si>
    <t>The order queue follows every filter and shows Order / Reference, Student / User, Academic Profile, Mode of payment, Review Trail and Fulfillment. With no match it says 'No orders match these filters.'</t>
  </si>
  <si>
    <t>ADM-183</t>
  </si>
  <si>
    <t>Approve a cash order directly and issue the claim token</t>
  </si>
  <si>
    <t>Signed in as Admin 900001 (President of PSITS-CCS). Use the password from the tester sheet. A pending cash order from a student (Student 2100142 can place one in Store &gt; Shop).</t>
  </si>
  <si>
    <t xml:space="preserve">1. Open the row menu of the pending order and select 'Approve directly'.
2. Read the dialog 'Approve Payment Directly'.
3. Check that the amount equals the order total.
4. Select 'Approve Payment'.</t>
  </si>
  <si>
    <t>The order becomes Paid and gets a 16-character claim token. A receipt number appears in the ledger as an income entry and the student sees the token in My orders.</t>
  </si>
  <si>
    <t>ADM-184</t>
  </si>
  <si>
    <t>Approve a payment that an officer already verified</t>
  </si>
  <si>
    <t>Signed in as Admin 900001 (President of PSITS-CCS). Use the password from the tester sheet. Officer 900004 has verified a payment (Verify and submit). The order waits for the Admin.</t>
  </si>
  <si>
    <t xml:space="preserve">1. Open Store &gt; Orders and find the order with the next step 'Approve the verified payment'.
2. Select 'Approve payment'.
3. Confirm.
4. Open Approvals and check the payment request.</t>
  </si>
  <si>
    <t>The order becomes Paid with a claim token and the matching approval request is marked Approved.</t>
  </si>
  <si>
    <t>ADM-185</t>
  </si>
  <si>
    <t>Verified amount must equal the order total</t>
  </si>
  <si>
    <t>Signed in as Admin 900001 (President of PSITS-CCS). Use the password from the tester sheet. A pending order.</t>
  </si>
  <si>
    <t xml:space="preserve">1. Open the row menu of the order and select the verify or approve action.
2. Change the amount to a different number.
3. Confirm.</t>
  </si>
  <si>
    <t>The page refuses it with 'The verified payment amount must exactly match the order total.' The order stays Pending.</t>
  </si>
  <si>
    <t>ADM-186</t>
  </si>
  <si>
    <t>Reject an order payment with a reason</t>
  </si>
  <si>
    <t xml:space="preserve">1. Open the row menu of the order and select 'Reject order'.
2. In 'Reject Payment' leave 'Rejection reason' empty and try to confirm.
3. Type a reason and select 'Reject Payment'.</t>
  </si>
  <si>
    <t>The reason is required. The order becomes Cancelled with the reason and the student is told.</t>
  </si>
  <si>
    <t>VERIFY: whether the reserved stock goes back to the product.</t>
  </si>
  <si>
    <t>ADM-187</t>
  </si>
  <si>
    <t>Order more than the stock is refused</t>
  </si>
  <si>
    <t>Signed in as Admin 900001 (President of PSITS-CCS). Use the password from the tester sheet. A product with only a few units left. You can buy as an Admin through My activity &gt; Shop. This is critical scenario 4 from CLAUDE.md.</t>
  </si>
  <si>
    <t xml:space="preserve">1. Open My activity &gt; Shop and find the product.
2. Set the quantity higher than the stock and add it to the cart.
3. Open the cart and place the reservation.
4. Read the message and open My activity &gt; My orders.</t>
  </si>
  <si>
    <t>The order is refused with 'Insufficient stock. Only N unit(s) available.' and no order is created. Stock is unchanged.</t>
  </si>
  <si>
    <t>ADM-188</t>
  </si>
  <si>
    <t>GCash order needs both reference and proof before it can be verified</t>
  </si>
  <si>
    <t>Signed in as Admin 900001 (President of PSITS-CCS). Use the password from the tester sheet. A GCash order without proof, or the QR not uploaded.</t>
  </si>
  <si>
    <t xml:space="preserve">1. Open the order's row menu.
2. Try the verify or approve action.
3. Read the message.</t>
  </si>
  <si>
    <t>The system refuses it with 'A valid GCash reference and payment proof are required before verification.' GCash checkout itself is refused with 'GCash payment is unavailable until an administrator uploads the official QR code.' when no QR exists. VERIFY which one you can reach.</t>
  </si>
  <si>
    <t>ADM-189</t>
  </si>
  <si>
    <t>Store &gt; Claim desk</t>
  </si>
  <si>
    <t>Release a paid order with the claim token</t>
  </si>
  <si>
    <t>Signed in as Admin 900001 (President of PSITS-CCS). Use the password from the tester sheet. A Paid order with a token (see the approval case). MEMBER_TESTING section 4, Officer journey 2 uses the same page.</t>
  </si>
  <si>
    <t xml:space="preserve">1. Open Store &gt; Claim desk.
2. Type the buyer's token into '16-character claim token'.
3. Select 'Claim'.
4. Check the buyer and items in 'Verify purchaser and release'.
5. Select 'Confirm Claim / Release'.</t>
  </si>
  <si>
    <t>The order becomes Claimed and moves to the Claimed list. The buyer sees Claimed in My orders. The receipt shows who released it.</t>
  </si>
  <si>
    <t>ADM-190</t>
  </si>
  <si>
    <t>An unknown token is refused</t>
  </si>
  <si>
    <t xml:space="preserve">1. Open Store &gt; Claim desk.
2. Type 16 letters and digits that are not a real token.
3. Select 'Claim'.</t>
  </si>
  <si>
    <t>The page says 'Invalid claim token.' and no order changes.</t>
  </si>
  <si>
    <t>ADM-191</t>
  </si>
  <si>
    <t>A token that was already used is refused</t>
  </si>
  <si>
    <t>Signed in as Admin 900001 (President of PSITS-CCS). Use the password from the tester sheet. A Claimed order and its token. This is critical scenario 9 from CLAUDE.md.</t>
  </si>
  <si>
    <t xml:space="preserve">1. Open Store &gt; Claim desk.
2. Type the token of an order that is already Claimed.
3. Select 'Claim'.</t>
  </si>
  <si>
    <t>The page says 'This token has already been used.' and the order stays Claimed.</t>
  </si>
  <si>
    <t>ADM-192</t>
  </si>
  <si>
    <t>Claim desk register: waiting and claimed lists</t>
  </si>
  <si>
    <t xml:space="preserve">1. Open Store &gt; Claim desk.
2. Read the list under 'Claim desk register' with 'Waiting to be claimed'.
3. Choose 'Claimed' in 'Filter claim tokens by status'.
4. Open a row's menu and select 'Review order'.</t>
  </si>
  <si>
    <t>The waiting list shows paid orders and their tokens; the claimed list shows released ones. With nothing to show the page says 'Nothing is waiting at the claim desk.' or 'No orders have been claimed yet.' Review order opens the full receipt.</t>
  </si>
  <si>
    <t>ADM-193</t>
  </si>
  <si>
    <t>Updates &gt; Announcements</t>
  </si>
  <si>
    <t>Announcements page: list, filters and the New announcement button</t>
  </si>
  <si>
    <t xml:space="preserve">1. Open Updates &gt; Announcements.
2. Read the main button and the list headings.
3. Change the audience, the publication state and the category filters.
4. Set the 'Created from' and 'Created to' dates and the sort.
5. Type a word in the search box.</t>
  </si>
  <si>
    <t>The main button is 'New announcement'. The list shows Title, Status, Audience and Actions with a count of matching records. Filters narrow the list. With no match the page says 'No announcements match these filters'. A new organization sees 'No announcements yet'.</t>
  </si>
  <si>
    <t>ADM-194</t>
  </si>
  <si>
    <t>Publish an announcement to everyone</t>
  </si>
  <si>
    <t xml:space="preserve">1. Select 'New announcement'.
2. Type a Title and the Content.
3. Leave Audience on 'All Members' and Category on 'General'.
4. Select 'Publish Now'.
5. In the dialog 'Publish Announcement' confirm.</t>
  </si>
  <si>
    <t>The announcement is published straight away (an Admin needs no approval). It shows in Updates &gt; Feed and in the Student's Announcements page, and members get a notification.</t>
  </si>
  <si>
    <t>ADM-195</t>
  </si>
  <si>
    <t>Save a draft that members cannot see</t>
  </si>
  <si>
    <t xml:space="preserve">1. Select 'New announcement' and fill Title and Content.
2. Select 'Save Draft' and confirm 'Save Draft'.
3. Sign in as Student 2100142 and open Updates &gt; Announcements.
4. As the Admin open the draft's row menu and select 'Publish announcement'.</t>
  </si>
  <si>
    <t>The draft is listed as Unpublished / Draft and the student does not see it. After 'Publish announcement' the student sees it.</t>
  </si>
  <si>
    <t>ADM-196</t>
  </si>
  <si>
    <t>Announcement form: title and content are required; audience choices</t>
  </si>
  <si>
    <t xml:space="preserve">1. Select 'New announcement'.
2. Read the amber note and look at the buttons with the fields empty.
3. Open 'Audience' and read the choices.
4. Choose an image over 5 MB or a PDF as Poster or image and try to publish.</t>
  </si>
  <si>
    <t>The note 'Complete the title and content to enable these actions.' shows and the buttons are off. Audience offers All Members, Officers Only, Students Only, Admins Only, Department Heads Only. A bad image is refused.</t>
  </si>
  <si>
    <t>ADM-197</t>
  </si>
  <si>
    <t>An invalid audience value is refused by the server</t>
  </si>
  <si>
    <t>Signed in as Admin 900001 (President of PSITS-CCS). Use the password from the tester sheet. This is critical scenario 6 from CLAUDE.md. The page itself cannot send a wrong value, so ask a technical teammate to send the request (curl or Postman) as Admin 900001.</t>
  </si>
  <si>
    <t xml:space="preserve">1. Sign in through the API as 900001 and keep the token.
2. Send POST /api/announcements with title, body and target_role set to everyone.
3. Read the status and the answer.
4. Open Updates &gt; Announcements and check that nothing new was created.</t>
  </si>
  <si>
    <t>The server answers 422 with a message that target_role is not valid (allowed: all, STUDENT, SBO_OFFICER, ADMIN, DEPARTMENT_HEAD). No announcement is created.</t>
  </si>
  <si>
    <t>VERIFY: skip this case if no technical teammate is present.</t>
  </si>
  <si>
    <t>ADM-198</t>
  </si>
  <si>
    <t>Generate a draft with the AI helper (limited per day)</t>
  </si>
  <si>
    <t>Signed in as Admin 900001 (President of PSITS-CCS). Use the password from the tester sheet. AI drafting is off on the public copy, so use a LAN copy or expect the error in step 4.</t>
  </si>
  <si>
    <t xml:space="preserve">1. Select 'New announcement' and type a Title.
2. Read 'N of M drafts left today'.
3. Type short instructions in 'Instructions for AI draft' and select 'Generate Draft'.
4. Read the result.</t>
  </si>
  <si>
    <t>Generate Draft is off until a title is typed. With the AI on, the content box fills with a draft you can change. With the AI off the page shows 'AI service is temporarily unavailable. Unable to generate the announcement draft.' When the daily limit is used the button reads 'Daily limit reached'.</t>
  </si>
  <si>
    <t>ADM-199</t>
  </si>
  <si>
    <t>Edit an announcement</t>
  </si>
  <si>
    <t>Signed in as Admin 900001 (President of PSITS-CCS). Use the password from the tester sheet. An announcement written by your organization.</t>
  </si>
  <si>
    <t xml:space="preserve">1. Open the row menu and select 'Edit announcement'.
2. Change the title and the content.
3. Select 'Save Record'.</t>
  </si>
  <si>
    <t>The toast reads 'Announcement updated.' and the list shows the new title.</t>
  </si>
  <si>
    <t>ADM-200</t>
  </si>
  <si>
    <t>Unpublish and publish again</t>
  </si>
  <si>
    <t>Signed in as Admin 900001 (President of PSITS-CCS). Use the password from the tester sheet. A published announcement.</t>
  </si>
  <si>
    <t xml:space="preserve">1. Open the row menu and select 'Unpublish announcement'.
2. Check Updates &gt; Feed.
3. Open the row menu and select 'Publish announcement'.</t>
  </si>
  <si>
    <t>The toast reads 'Announcement publication updated.' An unpublished announcement leaves the Feed and returns when published again.</t>
  </si>
  <si>
    <t>ADM-201</t>
  </si>
  <si>
    <t>Delete an announcement</t>
  </si>
  <si>
    <t>Signed in as Admin 900001 (President of PSITS-CCS). Use the password from the tester sheet. An announcement you wrote for testing.</t>
  </si>
  <si>
    <t xml:space="preserve">1. Open the row menu and select 'Delete announcement'.
2. Read 'Delete &lt;title&gt;?'.
3. Select 'Delete'.</t>
  </si>
  <si>
    <t>The toast reads 'Announcement deleted.' and it is gone from the list and the Feed.</t>
  </si>
  <si>
    <t>ADM-202</t>
  </si>
  <si>
    <t>An SAO announcement cannot be changed by the Admin</t>
  </si>
  <si>
    <t>Signed in as Admin 900001 (President of PSITS-CCS). Use the password from the tester sheet. The SAO has published a university announcement (SAO player does this under Updates).</t>
  </si>
  <si>
    <t xml:space="preserve">1. Open Updates &gt; Announcements and find the SAO announcement.
2. Open its row menu.
3. Read the next-step line when the row is expanded.</t>
  </si>
  <si>
    <t>The menu offers only 'View full record'. The row says 'Only the SAO can change this announcement.'</t>
  </si>
  <si>
    <t>ADM-203</t>
  </si>
  <si>
    <t>Approve an officer's announcement from the Announcements page</t>
  </si>
  <si>
    <t>Signed in as Admin 900001 (President of PSITS-CCS). Use the password from the tester sheet. Officer 900004 has sent an announcement (status Waiting for Admin approval).</t>
  </si>
  <si>
    <t xml:space="preserve">1. Open Updates &gt; Announcements and expand the officer's announcement.
2. Read the box 'An officer is waiting for your approval'.
3. Select 'Approve &amp; publish' in the row menu.</t>
  </si>
  <si>
    <t>The announcement becomes published and the officer is told it was approved. You cannot approve your own announcement request ('You cannot approve your own announcement request.').</t>
  </si>
  <si>
    <t>ADM-204</t>
  </si>
  <si>
    <t>Updates &gt; Feed</t>
  </si>
  <si>
    <t>Feed shows published announcements with search, category and likes</t>
  </si>
  <si>
    <t xml:space="preserve">1. Open Updates &gt; Feed.
2. Type a word in the search box and pick a category.
3. Select the like button on a post and select it again.
4. Use the next page button.</t>
  </si>
  <si>
    <t>The Feed shows only published announcements, newest first, with the source (your organization or the Student Affairs Office). A like toggles and keeps its count. With no match the page says 'No announcements match' with a clear option.</t>
  </si>
  <si>
    <t>ADM-205</t>
  </si>
  <si>
    <t>Records &gt; Compliance</t>
  </si>
  <si>
    <t>Compliance page lists the SAO requirements and their status</t>
  </si>
  <si>
    <t>Signed in as Admin 900001 (President of PSITS-CCS). Use the password from the tester sheet. The SAO has published requirement types for the year (SAO player does this first).</t>
  </si>
  <si>
    <t xml:space="preserve">1. Open Records &gt; Compliance.
2. Read the progress 'Requirements met' and the accreditation stepper.
3. Read each row: Requirement, Submitted, Deadline, Status, Upload.
4. Find a returned row and read the SAO remarks.</t>
  </si>
  <si>
    <t>Each requirement shows its deadline, status (Not submitted, Submitted, Approved, Returned) and a stage sentence. Approved rows show 'Locked'.</t>
  </si>
  <si>
    <t>ADM-206</t>
  </si>
  <si>
    <t>Upload a compliance document</t>
  </si>
  <si>
    <t>Signed in as Admin 900001 (President of PSITS-CCS). Use the password from the tester sheet. A requirement that is not submitted or was returned. Have a small PDF ready.</t>
  </si>
  <si>
    <t xml:space="preserve">1. On the requirement select 'Upload document' (or 'Replace document').
2. Choose the PDF in the box.
3. Select 'Submit for review'.</t>
  </si>
  <si>
    <t>The toast reads '"&lt;requirement&gt;" submitted to SAO for review.' and the status becomes Submitted. The SAO sees it in its review queue.</t>
  </si>
  <si>
    <t>ADM-207</t>
  </si>
  <si>
    <t>Compliance file type and size limits</t>
  </si>
  <si>
    <t>Signed in as Admin 900001 (President of PSITS-CCS). Use the password from the tester sheet. A .zip file and a file larger than 10 MB.</t>
  </si>
  <si>
    <t xml:space="preserve">1. Open the upload panel of a requirement.
2. Choose the .zip file.
3. Choose the file larger than 10 MB.</t>
  </si>
  <si>
    <t>The panel refuses them: 'This file type isn't accepted. Use PDF, JPG, PNG, DOC, DOCX, XLS or XLSX.' and 'This file is larger than 10 MB. Choose a smaller file.' Submit stays off.</t>
  </si>
  <si>
    <t>ADM-208</t>
  </si>
  <si>
    <t>Records &gt; Grievances</t>
  </si>
  <si>
    <t>Review a grievance and move it to under review</t>
  </si>
  <si>
    <t>Signed in as Admin 900001 (President of PSITS-CCS). Use the password from the tester sheet. Student 2100142 has filed a grievance addressed to the organization (Student player does this first).</t>
  </si>
  <si>
    <t xml:space="preserve">1. Open Records &gt; Grievances.
2. Open the grievance from the title.
3. Read the description, urgency and 'Addressed to'.
4. Select 'Move to under review'.</t>
  </si>
  <si>
    <t>The status changes to Under review and the page confirms 'Grievance updated. The student has been notified.'</t>
  </si>
  <si>
    <t>ADM-209</t>
  </si>
  <si>
    <t>Resolve or dismiss needs remarks, and a closed grievance stays closed</t>
  </si>
  <si>
    <t>Signed in as Admin 900001 (President of PSITS-CCS). Use the password from the tester sheet. A grievance under review.</t>
  </si>
  <si>
    <t xml:space="preserve">1. Open the grievance and select 'Resolve'.
2. Try the confirm button with the Remarks empty.
3. Type remarks and confirm.
4. Reopen the grievance and look for status buttons.</t>
  </si>
  <si>
    <t>The remarks are required. After saving the status is Resolved and the page says 'This grievance is closed and cannot be reopened.' The student sees the remarks. Dismiss works the same way.</t>
  </si>
  <si>
    <t>ADM-210</t>
  </si>
  <si>
    <t>Anonymous grievances hide the student; SAO grievances are not shown</t>
  </si>
  <si>
    <t>Signed in as Admin 900001 (President of PSITS-CCS). Use the password from the tester sheet. One grievance filed anonymously and one addressed to the SAO (Student player files them).</t>
  </si>
  <si>
    <t xml:space="preserve">1. Open Records &gt; Grievances.
2. Open the anonymous grievance.
3. Read the 'Filed by' column and the details.
4. Look for the grievance addressed to the SAO.</t>
  </si>
  <si>
    <t>The anonymous one shows 'Confidential' and 'Filed anonymously' with no name. The grievance addressed to the SAO does not appear in your list. With none at all the page says 'Nothing to review'.</t>
  </si>
  <si>
    <t>ADM-211</t>
  </si>
  <si>
    <t>Records &gt; Clearance signing</t>
  </si>
  <si>
    <t>Clear a student's signature</t>
  </si>
  <si>
    <t>Signed in as Admin 900001 (President of PSITS-CCS). Use the password from the tester sheet. The SAO has opened a clearance period and the queue has pending signatures.</t>
  </si>
  <si>
    <t xml:space="preserve">1. Open Records &gt; Clearance signing.
2. Read the queue columns: Student, Role, Period, Stage.
3. On a pending row select 'Clear'.
4. In the dialog select 'Confirm clear'.</t>
  </si>
  <si>
    <t>The toast reads 'Signature cleared.' and the row shows Cleared. The student is told. Before the SAO opens a period the page says 'Nothing waiting on your signature'.</t>
  </si>
  <si>
    <t>ADM-212</t>
  </si>
  <si>
    <t>Hold a signature with a reason, then clear the hold</t>
  </si>
  <si>
    <t>Signed in as Admin 900001 (President of PSITS-CCS). Use the password from the tester sheet. A pending signature.</t>
  </si>
  <si>
    <t xml:space="preserve">1. Select 'Hold' on a pending row.
2. Leave the Reason empty and look at 'Hold this signature'.
3. Type a reason such as Unpaid organization dues and confirm.
4. Select 'Clear hold' on the held row.</t>
  </si>
  <si>
    <t>The hold button is off until a reason is typed. The toast reads 'Signature put on hold.' and the row shows the reason for the student. 'Clear hold' clears it.</t>
  </si>
  <si>
    <t>ADM-213</t>
  </si>
  <si>
    <t>Clear many signatures at once, filter and search</t>
  </si>
  <si>
    <t>Signed in as Admin 900001 (President of PSITS-CCS). Use the password from the tester sheet. Several pending signatures.</t>
  </si>
  <si>
    <t xml:space="preserve">1. Select 'Select all pending (N)'.
2. Select 'Clear N selected'.
3. In 'Clear selected signatures' select 'Clear selected'.
4. Use 'Filter by clearance period' and 'Filter by status' and type a name in the search box.</t>
  </si>
  <si>
    <t>The toast reads 'Cleared N signatures.' The filters narrow the queue. The search only covers the current page (the page says so).</t>
  </si>
  <si>
    <t>ADM-214</t>
  </si>
  <si>
    <t>Records &gt; Audit log</t>
  </si>
  <si>
    <t>Audit log shows what happened in your organization</t>
  </si>
  <si>
    <t>Signed in as Admin 900001 (President of PSITS-CCS). Use the password from the tester sheet. Do something first, for example add an Officer position.</t>
  </si>
  <si>
    <t xml:space="preserve">1. Open Records &gt; Audit log.
2. Choose a Module such as positions and an Action category.
3. Open 'View details' on the newest row.
4. Read 'Before / after changes'.</t>
  </si>
  <si>
    <t>The log lists time, actor, role, module, action, affected record and details, newest first. Details show the old and new values. The entry you just made is there.</t>
  </si>
  <si>
    <t>ADM-215</t>
  </si>
  <si>
    <t>Audit log filters, sort and CSV export</t>
  </si>
  <si>
    <t xml:space="preserve">1. Use 'Actor role', 'Actor department' and 'Actor program' filters.
2. Change 'Sort audit logs'.
3. Select 'Export CSV'.</t>
  </si>
  <si>
    <t>The list follows the filters. With no match the page says 'No audit activity matches these filters'. A CSV file downloads. The page offers no way to edit or delete a log row.</t>
  </si>
  <si>
    <t>ADM-216</t>
  </si>
  <si>
    <t>The audit log holds only your own organization</t>
  </si>
  <si>
    <t xml:space="preserve">1. Open Records &gt; Audit log.
2. Set the sort to 'Newest first'.
3. Look for actions made by 900001 (PSITS-CCS).</t>
  </si>
  <si>
    <t>Only JPIA-CBE activity shows. Nothing from PSITS-CCS appears.</t>
  </si>
  <si>
    <t>ADM-217</t>
  </si>
  <si>
    <t>My activity &gt; Shop</t>
  </si>
  <si>
    <t>Admin can shop, see the token in My orders and the receipt in My receipts</t>
  </si>
  <si>
    <t>Signed in as Admin 900001 (President of PSITS-CCS). Use the password from the tester sheet. A product with stock. The case after this one covers claiming it.</t>
  </si>
  <si>
    <t xml:space="preserve">1. Open My activity &gt; Shop and add a product to the cart.
2. Open the cart and place the reservation (cash).
3. Open My activity &gt; My orders and read the order.
4. Open My activity &gt; My receipts and My activity &gt; Statement of account.</t>
  </si>
  <si>
    <t>My orders shows the order Pending with the next step. After another admin approves the payment it shows Paid and the claim token. My receipts lists receipts and Statement of account shows what you owe.</t>
  </si>
  <si>
    <t>ADM-218</t>
  </si>
  <si>
    <t>Profile page shows your details</t>
  </si>
  <si>
    <t xml:space="preserve">1. Select 'Profile' at the bottom of the menu.
2. Read the card on the left: School ID, Organization, Email address and the role chip.
3. Read the section 'Personal information'.</t>
  </si>
  <si>
    <t>The card shows your school ID, organization, email and the chip Organization Admin with your position. The form shows First name, Last name, Email address and Mobile number.</t>
  </si>
  <si>
    <t>ADM-219</t>
  </si>
  <si>
    <t>Change my name, email and mobile number</t>
  </si>
  <si>
    <t>Signed in as Admin 900001 (President of PSITS-CCS). Use the password from the tester sheet. Use a test Admin or put the old values back afterward.</t>
  </si>
  <si>
    <t xml:space="preserve">1. Open Profile.
2. Change the Mobile number to 0917 123 4567.
3. Select 'Save profile'.
4. Reload the page.
5. Select 'Discard changes' after editing a field again.</t>
  </si>
  <si>
    <t>The page says 'Profile changes saved.' and the new number is still there after reload. 'Discard changes' puts the saved values back.</t>
  </si>
  <si>
    <t>ADM-220</t>
  </si>
  <si>
    <t>Profile form: empty fields, email used by someone else, bad mobile number</t>
  </si>
  <si>
    <t xml:space="preserve">1. Open Profile and clear the First name.
2. Select 'Save profile'.
3. Put the email of another member in Email address and save.
4. Type letters in Mobile number and save.</t>
  </si>
  <si>
    <t>'First name, last name, and email are required.' shows for the empty field. A used email and a bad mobile number are refused with a message. The saved values do not change.</t>
  </si>
  <si>
    <t>ADM-221</t>
  </si>
  <si>
    <t>Change my password</t>
  </si>
  <si>
    <t>Use a test Admin account whose password you can change, or Admin 900003 and tell the demo owner. Do not change 900001 or 990002 without telling the team.</t>
  </si>
  <si>
    <t xml:space="preserve">1. Open Profile and find the password section.
2. Type the current password, a new password of at least 8 characters and the same text in 'Confirm new password'.
3. Select 'Update password'.
4. Sign out and sign in with the new password.</t>
  </si>
  <si>
    <t>The page says 'Password updated. Your other devices were signed out.' The new password works and the old one is refused.</t>
  </si>
  <si>
    <t>ADM-222</t>
  </si>
  <si>
    <t>Password change refused: wrong current password, mismatch, too short, same password</t>
  </si>
  <si>
    <t>Same test account as the case above.</t>
  </si>
  <si>
    <t xml:space="preserve">1. Type a wrong 'Current password' and a good new password, then select 'Update password'.
2. Type matching new passwords but a different confirmation.
3. Type a new password with fewer than 8 characters.
4. Leave all three boxes empty.</t>
  </si>
  <si>
    <t>Messages: 'Current password is incorrect.'; 'New passwords do not match.'; a message that the password must be at least 8 characters; 'Current password, new password, and confirmation are required.' The password does not change.</t>
  </si>
  <si>
    <t>ADM-223</t>
  </si>
  <si>
    <t>Notifications</t>
  </si>
  <si>
    <t>Bell shows new notifications and opens the related record</t>
  </si>
  <si>
    <t>Signed in as Admin 900001 (President of PSITS-CCS). Use the password from the tester sheet. Something just happened that notifies an Admin, for example an officer sent an announcement for approval or a student filed a grievance.</t>
  </si>
  <si>
    <t xml:space="preserve">1. Look at the bell at the top right.
2. Select the bell and read the list.
3. Select one notification.
4. Select 'Open related record'.
5. Select the bell again and select 'Mark all as read'.</t>
  </si>
  <si>
    <t>The bell shows a number badge. The panel lists the newest notifications with a time. The detail view has 'Back to notifications' and 'Open related record' which opens the exact item. 'Mark all as read' clears the badge. With none the panel says 'No notifications yet'.</t>
  </si>
  <si>
    <t>ADM-224</t>
  </si>
  <si>
    <t>Study objectives page opens from the menu footer</t>
  </si>
  <si>
    <t xml:space="preserve">1. Scroll to the bottom of the left menu.
2. Select 'Study objectives'.
3. Read the page.</t>
  </si>
  <si>
    <t>The page 'Study Objectives in Action' opens with one row per objective and the evidence the system holds. It is open to every role.</t>
  </si>
  <si>
    <t>ADM-225</t>
  </si>
  <si>
    <t>Department Head approval moves the event to Approved and opens funding</t>
  </si>
  <si>
    <t>Signed in as Admin 900001 (President of PSITS-CCS). Use the password from the tester sheet. The Department Head (940001) approves in Approvals. Do this with the Department Head player. MEMBER_TESTING section 4, Admin journey 2.</t>
  </si>
  <si>
    <t xml:space="preserve">1. Propose an event that ticks 'Requires budget allocation' (with notes) and no proposed amount.
2. Ask the Department Head to approve it under Approvals.
3. Open the event with 'View event'.
4. Read the stepper and the next-step box.</t>
  </si>
  <si>
    <t>The status badge shows Approved. The stepper moves past Approval and the next step reads 'Propose the event budget' with a 'Propose budget' button.</t>
  </si>
  <si>
    <t>ADM-226</t>
  </si>
  <si>
    <t>Propose the event budget straight from the event window</t>
  </si>
  <si>
    <t>Signed in as Admin 900001 (President of PSITS-CCS). Use the password from the tester sheet. An approved event that needs a budget. MEMBER_TESTING section 4, Admin journey 2 (3 clicks).</t>
  </si>
  <si>
    <t xml:space="preserve">1. Open the approved event with 'View event'.
2. Select 'Propose budget'.
3. Check that the Linked Event already shows this event.
4. Type a Title, Allocated Amount and Warning Threshold and select 'Submit for Approval'.
5. Go back to the event window.</t>
  </si>
  <si>
    <t>The budget form opens with the event preselected. After sending, the event funding step reads 'Budget waiting for Department Head approval'.</t>
  </si>
  <si>
    <t>ADM-227</t>
  </si>
  <si>
    <t>SAO returns the event files; the Admin replaces them</t>
  </si>
  <si>
    <t>Signed in as Admin 900001 (President of PSITS-CCS). Use the password from the tester sheet. The event needs SAO files, the Department Head approved it and the SAO has returned the files with remarks. Do this with the SAO player.</t>
  </si>
  <si>
    <t xml:space="preserve">1. Open the event and read the stage text and the remarks.
2. Find 'SAO event requirements' and choose new PDFs for the returned items.
3. Select 'Submit event files to SAO'.
4. Read the stage text again.</t>
  </si>
  <si>
    <t>The stage says 'Returned by SAO' with the remarks before the change. After sending new files it goes back to 'Waiting for SAO'.</t>
  </si>
  <si>
    <t>ADM-228</t>
  </si>
  <si>
    <t>New events are refused while the SAO has semesters but none is active</t>
  </si>
  <si>
    <t>Signed in as Admin 900001 (President of PSITS-CCS). Use the password from the tester sheet. The SAO has added a semester but has not set it as active (MEMBER_TESTING section 3: adding is not enough).</t>
  </si>
  <si>
    <t xml:space="preserve">1. Select 'New event' and fill the required fields.
2. Select 'Submit proposal'.
3. Try 'New task' in Events and tasks &gt; Tasks and create a task.</t>
  </si>
  <si>
    <t>The event is refused with 'SAO must activate an academic semester before new events can be created.' and the task with 'SAO must activate an academic semester before new tasks can be created.' A new election is refused the same way ('SAO must activate an academic semester before new elections can be created.'). Once the SAO sets the semester as active all three work again.</t>
  </si>
  <si>
    <t>ADM-229</t>
  </si>
  <si>
    <t>Adviser proposes an event and tracks it</t>
  </si>
  <si>
    <t>Sign in as Adviser 990002 (PSITS-CCS). The password is the adviser password on the tester sheet.</t>
  </si>
  <si>
    <t xml:space="preserve">1. Open Events and tasks &gt; Events and select 'New event'.
2. Fill the required fields and select 'Submit proposal'.
3. Open Approvals and select 'Submitted by me'.
4. Open the event row.</t>
  </si>
  <si>
    <t>The Adviser can propose an event like an Admin. The event shows in Submitted by me with the stage 'Waiting for Department Head approval'.</t>
  </si>
  <si>
    <t>VERIFY: whether the Adviser account has any limit beyond the Admin menu.</t>
  </si>
  <si>
    <t>ADM-230</t>
  </si>
  <si>
    <t>Download the informative letter of an election</t>
  </si>
  <si>
    <t>Signed in as Admin 900001 (President of PSITS-CCS). Use the password from the tester sheet. An election created with an informative letter.</t>
  </si>
  <si>
    <t xml:space="preserve">1. Open Voting &gt; Elections.
2. Find the election card and the link 'Informative letter'.
3. Select it.</t>
  </si>
  <si>
    <t>The PDF letter downloads. A card without a letter shows no such link.</t>
  </si>
  <si>
    <t>ADM-231</t>
  </si>
  <si>
    <t>Orders and Ledger are readable on a phone</t>
  </si>
  <si>
    <t xml:space="preserve">1. Tap 'Open menu', then 'Store', then 'Orders'.
2. Scroll the order list and open one order.
3. Go to Finance &gt; Ledger and scroll the list.</t>
  </si>
  <si>
    <t>Both pages fit the screen without sideways scrolling, rows show as cards, and every button can be tapped.</t>
  </si>
  <si>
    <t>ADM-232</t>
  </si>
  <si>
    <t>Set a promo price and a buyer limit; the limit ends the promo for the next buyer</t>
  </si>
  <si>
    <t>Signed in as Admin 900001 (President of PSITS-CCS). Use the password from the tester sheet. A product with stock and a regular price of 100.00, for example "QA Shirt" (add one if needed, see ADM-174). Students 2300312 and 2400019 have not bought it. Ask for two student windows.</t>
  </si>
  <si>
    <t xml:space="preserve">1. On the product card select Edit. Type 80 in "Promo price" and leave "First buyers" empty. Select "Save Changes".
2. Type 1 in "First buyers" and change "Promo price" to 100. Select "Save Changes".
3. Change "Promo price" to 80 and select "Save Changes". Read the card.
4. As Student 2300312 open Store, Shop. Read the product card, add it to the cart and place a cash reservation.
5. As Student 2400019 open the Shop. Read the same card, then add it to the cart and place a cash reservation.
6. As Student 2300312 place a second reservation for the same product.
7. As Admin open Store &gt; Orders and compare the totals of the three orders.</t>
  </si>
  <si>
    <t>Step 1 is refused with "Set both the promotion price and buyer limit." Step 2 is refused with "Promotion price must be lower than the regular price." Step 3 saves and the card shows 80.00 with 100.00 struck through and the number of buyer slots left. Student 2300312 sees the tag "FIRST 1 BUYERS" and the price 80.00, and the order total is 80.00. Student 2400019 now sees 100.00 and no tag, and the order is placed at the regular price of 100.00 (it is not refused). The first student's second reservation is still at 80.00. The limit counts different buyers, not units.</t>
  </si>
  <si>
    <t>VERIFY: the wording of the remaining-slots line.</t>
  </si>
  <si>
    <t>ADM-233</t>
  </si>
  <si>
    <t>The "Low stock at or below" number changes the Low Stock badge</t>
  </si>
  <si>
    <t>Signed in as Admin 900001 (President of PSITS-CCS). Use the password from the tester sheet. A product with exactly 12 units in stock and no sizes. The default low stock number is 9.</t>
  </si>
  <si>
    <t xml:space="preserve">1. Open Store &gt; Inventory. Find the product and note the tile "Low Stock".
2. Select Edit on the product and read "Low stock at or below".
3. Change "Low stock at or below" to 15 and select "Save Changes".
4. Read the product card and the tile "Low Stock".
5. Change it to 5 and save. Read the card and the tile again.
6. Type 0 in the box and try to save.</t>
  </si>
  <si>
    <t>With 9 the product is not low (12 units). With 15 the card shows the amber badge "Low Stock" and the tile "Low Stock" goes up by one. With 5 the badge goes away and the tile goes back. A value below 1 is stopped by the box (the smallest value is 1). Out of stock still shows "Out of Stock" whatever the number is.</t>
  </si>
  <si>
    <t>ADM-234</t>
  </si>
  <si>
    <t>An Admin mutes one kind of notification and turns it back on</t>
  </si>
  <si>
    <t>Run with ADM-194</t>
  </si>
  <si>
    <t>Signed in as Admin 900002 (Vice President, Internal) of PSITS-CCS. Use the password from the tester sheet. Admin 900001 is ready on another device to publish an announcement. Open the bell first and write down the unread number.</t>
  </si>
  <si>
    <t xml:space="preserve">1. Open Profile and find "Notifications".
2. Switch "Announcements" off and read the message.
3. Admin 900001 publishes an announcement (Updates, Announcements, New announcement, Publish Now).
4. Reload the page and open the bell. Open Updates &gt; Feed.
5. Switch "Announcements" back on, reload and open the bell.</t>
  </si>
  <si>
    <t>The message reads "Announcements hidden from your notifications". While it is off the bell does not list "New Announcement: &lt;title&gt;", but the post is in the Feed. After you switch it on the notice is listed again. Approval requests, tasks and payment notices stay on and cannot be switched off.</t>
  </si>
  <si>
    <t>VERIFY: that a notice created during the mute shows again after you switch the choice on.</t>
  </si>
  <si>
    <t>ADM-235</t>
  </si>
  <si>
    <t>AI Advice on a budget when the AI helper is off</t>
  </si>
  <si>
    <t>Run after ADM-113 and ADM-147</t>
  </si>
  <si>
    <t>Signed in as Admin 900001 (President of PSITS-CCS). Use the password from the tester sheet. The AI helper is off, as on the public copy. A budget exists and a forecast exists (ADM-113 and ADM-147). The button "AI Advice" shows only for an Admin.</t>
  </si>
  <si>
    <t xml:space="preserve">1. Open Finance &gt; Budgets and find a budget card.
2. Select "AI Advice" and wait until "Analyzing..." ends.
3. Read the green message and the text under the budget.
4. Read the small panel: the engine badge, the status tag, the amber note and the figures.
5. Open "How this was calculated".</t>
  </si>
  <si>
    <t>A message says "Budget advice generated from the latest forecast and available funds." The card shows an overspending risk (low, medium or high), the line "AI recommended allocation &lt;amount&gt; · Safe spending ceiling &lt;amount&gt;" and an advice sentence. The badge says "Local fallback engine" (or "Python AI service" if the engine is on), the tag says Within limit, Reduced allocation or No funds available, and an amber note says "AI explanation unavailable. The displayed figures and advice are deterministic; use AI Advice to retry." The panel also shows Reserve and Expense/income ratio. Nothing blocks the page. An officer or Department Head sees no AI Advice button.</t>
  </si>
  <si>
    <t>ADM-236</t>
  </si>
  <si>
    <t>AI Advice on a budget when the AI helper is on</t>
  </si>
  <si>
    <t>Run after ADM-235</t>
  </si>
  <si>
    <t>Signed in as Admin 900001 (President of PSITS-CCS). Use the password from the tester sheet. The AI helper is on (the host started the public copy with the AI option; the box printed by the script says "AI helpers: ON"). Each click uses the host's AI quota, so click once or twice only. A budget exists and a forecast exists. Limit: about 5 advice requests a minute.</t>
  </si>
  <si>
    <t xml:space="preserve">1. Open Finance &gt; Budgets and select "AI Advice" on a budget.
2. Read the advice sentences and the line "Explained by &lt;model name&gt;".
3. Compare the figures in the sentences with "AI recommended allocation", "Safe spending ceiling" and the risk word.
4. Open "How this was calculated" and read the line that starts "Deterministic advice before AI rewrite".
5. Select "AI Advice" again, more than 5 times in one minute if you can.</t>
  </si>
  <si>
    <t>The advice is written in two short plain sentences and the line "Explained by &lt;model&gt;" shows. The amber note about an unavailable explanation does NOT show. Every figure in the sentences matches the figures on the card. "How this was calculated" keeps the plain computed advice. After the limit a calm message appears and works again after a minute. If the amber note still shows, the AI helper is off: report it as Blocked.</t>
  </si>
  <si>
    <t>ADM-237</t>
  </si>
  <si>
    <t>A report approved by the SAO shows Approved and its entries stay locked</t>
  </si>
  <si>
    <t>Run after ADM-142, DH-045 and SAO-062</t>
  </si>
  <si>
    <t>Signed in as Admin 900001 (President of PSITS-CCS). Use the password from the tester sheet. A financial report was submitted, approved by Department Head 940001 and approved by the SAO (SAO-062).</t>
  </si>
  <si>
    <t xml:space="preserve">1. Open Finance &gt; Financial reports and find the report in the list.
2. Read its status. Select "View details".
3. Look for a "Submit for review" button.
4. Open Finance &gt; Ledger and find an entry that is listed in the report.
5. Try "Edit transaction" and "Delete transaction" on it.</t>
  </si>
  <si>
    <t>The report reads Approved. There is no "Submit for review" button (if forced the system says "Only draft or rejected reports can be submitted."). The ledger entry is locked: the edit and delete actions are off and the note names the report. An entry that is not in the report can still be edited.</t>
  </si>
  <si>
    <t>VERIFY: the exact lock note for an Approved report (the same note as for a submitted one).</t>
  </si>
  <si>
    <t>ADM-238</t>
  </si>
  <si>
    <t>The optional event fields save and show in the event window</t>
  </si>
  <si>
    <t>Signed in as Admin 900001 (President of PSITS-CCS). Use the password from the tester sheet. A small JPEG or PNG poster under 5 MB is ready. Use Round 1 or Round 2 dates that work for your copy.</t>
  </si>
  <si>
    <t xml:space="preserve">1. Select "New event". Fill the title, the dates and the venue.
2. Fill "Event Type" (for example Workshop), "Planning Requirements", "Available / Required Resources", "Vendor Deadlines" and "Logistics Checklist" with short sentences. Choose a picture in "Event poster".
3. Select "Submit proposal".
4. In the event window read the picture and the lines for event type, requirements, resources, vendor deadlines and logistics.
5. Close it, select "Edit event" on the row, change "Vendor Deadlines" and select "Save Changes".
6. Open the event again.</t>
  </si>
  <si>
    <t>The window shows the poster at the top, "Event type: Workshop" and a box "Planning Details" with "Requirements:", "Resources:", "Vendor deadlines:" and "Logistics checklist:" followed by your text. A field you left empty is not shown (the event type says "Not specified"). Edit opens with all values filled. After Save Changes the new vendor text shows. The poster hint reads "JPEG, PNG or WebP · up to 5 MB".</t>
  </si>
  <si>
    <t>ADM-239</t>
  </si>
  <si>
    <t>Export from the Tasks board gives a file with the rows the filters show</t>
  </si>
  <si>
    <t>Run after ADM-086</t>
  </si>
  <si>
    <t>Signed in as Admin 900001 (President of PSITS-CCS). Use the password from the tester sheet. At least 12 tasks exist with more than one status, so the board has more than one page (add tasks with ADM-086 if needed). Allow the browser to download files.</t>
  </si>
  <si>
    <t xml:space="preserve">1. Open Events and tasks &gt; Tasks on the Board view.
2. Choose a status in "Filter tasks by status" and write down the result count.
3. Select "Export" on the card "All Tasks".
4. Open the file tasks-&lt;date&gt;.csv.
5. Count the rows and read the Status column.
6. Clear the filter, select "Export" again and count the rows.</t>
  </si>
  <si>
    <t>A file named tasks-&lt;today's date&gt;.csv downloads. It has a header row with Task ID, Title, Assignee, Related Event, Status, Progress Percent and Deadline. The data rows equal the result count of the filter and all have that status, even when the list has several pages. Without the filter the file has every task. Quotes and commas inside text do not break the columns.</t>
  </si>
  <si>
    <t>ADM-240</t>
  </si>
  <si>
    <t>After the semester changes, a pending approval for an old event cannot be decided</t>
  </si>
  <si>
    <t>Run after ADM-062 and SAO-100</t>
  </si>
  <si>
    <t>Signed in as Admin 900001 (President of PSITS-CCS). Use the password from the tester sheet. Round 2. Admin 900001 proposed an event in the 1st semester and Department Head 940001 did not decide it. The SAO then closed the 1st semester and activated the 2nd (SAO-100). Do this with the Department Head player.</t>
  </si>
  <si>
    <t xml:space="preserve">1. Open Approvals, then "Submitted by me", and find the event request. Read its status.
2. Open the event with "View event". Try "Edit event", change the title and select "Save Changes".
3. Ask the Department Head to open Approvals, select Review on the event and select Approve.
4. Read the Department Head's message, then reload Submitted by me.</t>
  </si>
  <si>
    <t>The request is still Pending. The Department Head's approve is refused with "Historical semester event approvals are read only." (an election request says "Historical semester election approvals are read only."). The Admin's event edit is refused with "Historical semester events are read only." and the event is unchanged. Nobody can decide it, so the Admin proposes a new event in the new semester.</t>
  </si>
  <si>
    <t>VERIFY: where the message shows on screen, and whether the old request still appears in the Department Head's list.</t>
  </si>
  <si>
    <t>ADM-241</t>
  </si>
  <si>
    <t>People page size: exactly 10 users, exactly 11 users, and search goes back to page 1</t>
  </si>
  <si>
    <t>Signed in as Admin 900001 (President of PSITS-CCS). Use the password from the tester sheet. Use test students you made (ADM-019), not the shared demo students. The seed shows about 22 users for PSITS-CCS (3 Admins, 1 adviser, 4 officers and 14 students). VERIFY the number on your copy.</t>
  </si>
  <si>
    <t xml:space="preserve">1. Open Members &gt; People. Read the line under the table: "Showing 1-10 of N users".
2. Use the filters (role Student, status Active, program, year level, section) and test students you create or deactivate (ADM-031) until the line reads "of 11 users".
3. Read the rows on page 1, select page 2 and read the rows and the line.
4. Deactivate one test student so the filtered count is exactly 10. Read the table and look for the page buttons.
5. Clear the filters. Select page 2. Then type a name in the search box.
6. Reactivate the test students.</t>
  </si>
  <si>
    <t>With 11 users page 1 shows 10 rows ("Showing 1-10 of 11 users") and page 2 shows 1 row ("Showing 11-11 of 11 users"). With exactly 10 users there is one page of 10 rows and no page buttons at all. With the seed of about 22 users the pages show 10, 10 and 2 rows. After a search from page 2 the list goes back to page 1 and the line shows the new count. The summary cards agree with the count of the filter.</t>
  </si>
  <si>
    <t>ADM-242</t>
  </si>
  <si>
    <t>My activity &gt; Statement of account</t>
  </si>
  <si>
    <t>The Admin has a Statement of account page for the Admin own charges</t>
  </si>
  <si>
    <t>Signed in as Admin 900001 (President of PSITS-CCS). Use the password from the tester sheet. Admin 900001 has no invoices on the seed. To see a row, Admin 900002 can try to add a charge for 900001 (Finance, Student accounts, Add student charge). VERIFY: it may be refused because 900001 is not a student.</t>
  </si>
  <si>
    <t xml:space="preserve">1. Open My activity &gt; Statement of account.
2. Read the title and the sentence under it.
3. Read the table or the empty message.
4. Look for the boxes "Outstanding balance" and "Clearance" at the top.
5. Open Finance &gt; Student accounts and compare what each page is for.</t>
  </si>
  <si>
    <t>The page is titled "Statement of Account &amp; Financial Clearance" with the line "Approved payments are reflected in your balance." With no invoices the table says "No invoices have been issued to you." If a charge exists the table shows Description, Reference, Due date, Status, Amount due, Paid and Balance. The boxes "Outstanding balance" and "Clearance" are for students only and do not show for an Admin. Other students' accounts are only in Finance &gt; Student accounts.</t>
  </si>
  <si>
    <t>ADM-243</t>
  </si>
  <si>
    <t>Study objectives evidence links open pages an Admin may see</t>
  </si>
  <si>
    <t>Signed in as Admin 900001 (President of PSITS-CCS). Use the password from the tester sheet. Some activity exists, so the counts are not all zero.</t>
  </si>
  <si>
    <t xml:space="preserve">1. Scroll to the bottom of the left menu and select "Study objectives".
2. Select tiles with an arrow one by one, for example "Expense forecasts generated (OLS regression)", "Events completed", "Check-ins recorded manually", "Orders placed" and "Votes cast".
3. After each one, use Back and write down the page it opened.
4. Select a tile with no arrow, for example "AI financial summaries" or "Notifications delivered".</t>
  </si>
  <si>
    <t>Each arrow tile opens an Admin page: Forecast, Calendar, Check-in, Orders, Elections or Results, Ledger, Receipts, AI delegation, Tasks, Planner, Claim desk or Announcements. None ends on a "not allowed" redirect. Tiles with no arrow do nothing when clicked. The tile "Financial reports approved" belongs to the SAO and an Admin does not see it.</t>
  </si>
  <si>
    <t>VERIFY: the tile "AI event plans generated" opens Events and tasks &gt; Planning.</t>
  </si>
  <si>
    <t>SBO-001</t>
  </si>
  <si>
    <t>Officer signs in and lands on the Dashboard</t>
  </si>
  <si>
    <t>Nobody is signed in on this browser. Use account 900004 (Treasurer). On a fresh seed no password change is asked (docs/MEMBER_TESTING.md section 2).</t>
  </si>
  <si>
    <t xml:space="preserve">1. Open the HIUSA address you were given.
2. Type 900004 in the box "School ID / ID Number".
3. Type the password in the box "Password".
4. Click "Sign in".
5. Read the page and the top bar.</t>
  </si>
  <si>
    <t>You land on the officer Dashboard (the address ends in /dashboard/officer). The top bar shows your name and your organization with "SBO Officer". The side menu is the officer menu. No password change screen appears.</t>
  </si>
  <si>
    <t>SBO-002</t>
  </si>
  <si>
    <t>A wrong password is refused with a clear message</t>
  </si>
  <si>
    <t>Signed out. Use a real officer School ID such as 900004. Do this only once or twice: five wrong tries lock the account for 15 minutes and other testers may share it (docs/MEMBER_TESTING.md section 8).</t>
  </si>
  <si>
    <t xml:space="preserve">1. Type 900004 in "School ID / ID Number".
2. Type a wrong password in "Password".
3. Click "Sign in".
4. Read the red message under the boxes.
5. Now type the correct password and click "Sign in" again.</t>
  </si>
  <si>
    <t>The message reads: "That school ID and password did not match. Check both and try again, or reset your password." You stay on the sign-in page and nothing about the account is revealed. The correct password then signs you in.</t>
  </si>
  <si>
    <t>SBO-003</t>
  </si>
  <si>
    <t>Signing in with empty boxes does not sign you in</t>
  </si>
  <si>
    <t>Signed out, on the sign-in page.</t>
  </si>
  <si>
    <t xml:space="preserve">1. Leave both boxes empty and click "Sign in".
2. Type only 900004 in "School ID / ID Number" and click "Sign in".
3. Clear it, type only a password and click "Sign in".
4. Read the message each time.</t>
  </si>
  <si>
    <t>You are never signed in. A red message appears each time and you stay on the sign-in page.</t>
  </si>
  <si>
    <t>VERIFY: the wording. The page may say "Enter your school ID and password to continue." or repeat a field message from the server.</t>
  </si>
  <si>
    <t>SBO-004</t>
  </si>
  <si>
    <t>Menu and navigation</t>
  </si>
  <si>
    <t>The officer menu has exactly the pages an officer may use</t>
  </si>
  <si>
    <t>Signed in as an SBO Officer of PSITS-CCS (900004 Treasurer, 900005 Auditor, 900006 Public Information Officer or 900007 Business Manager). Use the password the demo owner gave you. Use a laptop screen so the full side menu shows.</t>
  </si>
  <si>
    <t xml:space="preserve">1. Sign in as 900004 and look at the left menu from top to bottom.
2. Write down every group and page name you see.
3. Click each group name once and note which page opens first.
4. Look at the bottom of the menu and click "Study objectives".
5. Click "Profile" at the bottom of the menu.</t>
  </si>
  <si>
    <t>The menu shows: Dashboard. Events and tasks (Check-in, Calendar, Venue booking, My tasks, AI delegation). Finance (view only) (Budgets, Ledger, Financial reports, Forecast). Members and fingerprints. Voting (Candidates, Voters, Results). Store (Orders, Claim desk). Updates (Announcements, Feed). Clearance signing. My activity (Vote, Shop, My orders, My receipts, Statement of account). Small headings Manage, Community, Records and Me sit above the groups. A group opens its first page (Events and tasks opens Check-in, Finance (view only) opens Budgets, Voting opens Candidates, Store opens Orders, Updates opens Announcements, My activity opens Vote). Profile and Study objectives both open. There is no Approvals, People, Officer positions, Events, Planning, Tasks, Inventory, Collections and advances, Student accounts, Compliance, Grievances or Audit log.</t>
  </si>
  <si>
    <t>SBO-005</t>
  </si>
  <si>
    <t>All four officer positions get the same menu and the same powers</t>
  </si>
  <si>
    <t>Accounts 900004, 900005, 900006 and 900007 are all available. Sign out between accounts. This is a fresh seed (docs/MEMBER_TESTING.md section 2).</t>
  </si>
  <si>
    <t xml:space="preserve">1. Sign in as 900004 (Treasurer) and copy down the side menu.
2. Log out and sign in as 900005 (Auditor). Compare the menu.
3. Log out and sign in as 900006 (Public Information Officer). Compare the menu.
4. Log out and sign in as 900007 (Business Manager). Compare the menu.
5. On each account open Store &gt; Orders and Updates &gt; Announcements and look for buttons.</t>
  </si>
  <si>
    <t>The menu and the pages are identical for all four. Every position can verify payments, release orders, check people in, update its own tasks and send announcements for approval. The position changes only the title shown under the name (see the Profile case) and which tasks the system suggests for the officer (see the AI delegation cases). No page is hidden or locked because of the position.</t>
  </si>
  <si>
    <t>SBO-006</t>
  </si>
  <si>
    <t>Each officer position is shown on the Profile page</t>
  </si>
  <si>
    <t>Accounts 900004 to 900007 are available (docs/MEMBER_TESTING.md section 2).</t>
  </si>
  <si>
    <t xml:space="preserve">1. Sign in as 900004 and click "Profile" at the bottom of the menu.
2. Read the dark card on the left: name, role and the line under it.
3. Read School ID, Organization and Email address on the same card.
4. Log out and repeat for 900005, 900006 and 900007.</t>
  </si>
  <si>
    <t>The role badge says "SBO Officer" for all four. The line under it is the position: 900004 Treasurer, 900005 Auditor, 900006 Public Information Officer, 900007 Business Manager. School ID and organization (PSITS-CCS) are correct.</t>
  </si>
  <si>
    <t>SBO-007</t>
  </si>
  <si>
    <t>Typing the address of an Admin-only page sends the officer back to the Dashboard</t>
  </si>
  <si>
    <t>Signed in as an SBO Officer of PSITS-CCS (900004 Treasurer, 900005 Auditor, 900006 Public Information Officer or 900007 Business Manager). Use the password the demo owner gave you. Use the same site address you signed in on. Only change the part after the site address.</t>
  </si>
  <si>
    <t xml:space="preserve">1. Replace the page address with each of these and press Enter, one at a time: /dashboard/admin, /dashboard/approvals, /dashboard/admin/positions, /dashboard/admin/programs-sections, /dashboard/audit-logs.
2. Then try these: /dashboard/events/manage-events, /dashboard/events/event-planner, /dashboard/tasks/task-board, /dashboard/compliance, /dashboard/grievances.
3. Then try these: /dashboard/finance/collections, /dashboard/finance/student-accounts, /dashboard/merchandise/manage-inventory.
4. Then try these: /dashboard/elections/manage-elections, /dashboard/elections/manage-partylists, /dashboard/approval-requests/new/budget, /dashboard/approval-requests/new/event.
5. After each address, write down which page you ended on.</t>
  </si>
  <si>
    <t>Every address sends you back to your own Dashboard (/dashboard/officer). No Admin page shows data or buttons, not even for a moment. There is no error page, you are simply returned to the Dashboard.</t>
  </si>
  <si>
    <t>SBO-008</t>
  </si>
  <si>
    <t>Pages of the SAO, Department Head and Student are closed to the officer</t>
  </si>
  <si>
    <t>Signed in as an SBO Officer of PSITS-CCS (900004 Treasurer, 900005 Auditor, 900006 Public Information Officer or 900007 Business Manager). Use the password the demo owner gave you.</t>
  </si>
  <si>
    <t xml:space="preserve">1. Replace the page address with /dashboard/super-admin and press Enter.
2. Try /dashboard/super-admin/organizations and /dashboard/super-admin/academic-years.
3. Try /dashboard/department-head and /dashboard/department-head/approvals.
4. Try /dashboard/student, /dashboard/my-grievances and /dashboard/my-clearance.
5. Write down where you end up each time.</t>
  </si>
  <si>
    <t>Each address returns you to the officer Dashboard. None of these pages opens for an officer.</t>
  </si>
  <si>
    <t>SBO-009</t>
  </si>
  <si>
    <t>An officer cannot approve their own announcement</t>
  </si>
  <si>
    <t>Signed in as an SBO Officer of PSITS-CCS (900004 Treasurer, 900005 Auditor, 900006 Public Information Officer or 900007 Business Manager). Use the password the demo owner gave you. At least one announcement written by this officer is "Waiting for Admin approval" (send one with the case "Officer sends an announcement for approval" first).</t>
  </si>
  <si>
    <t xml:space="preserve">1. Look through the whole left menu for an Approvals item.
2. Open Updates &gt; Announcements and click the title of your waiting announcement to open its panel.
3. Click the three dots (Announcement actions) on its row and read the choices.
4. Replace the page address with /dashboard/approvals and press Enter.</t>
  </si>
  <si>
    <t>There is no Approvals item in the menu. The row shows the chip "Waiting for Admin approval". The panel says "Waiting for Admin approval. No action needed from you." The actions are only "View full record", "Edit announcement" and "Delete announcement". There is no "Approve &amp; publish" or "Publish announcement". The Approvals address returns you to the Dashboard.</t>
  </si>
  <si>
    <t>SBO-010</t>
  </si>
  <si>
    <t>Unknown addresses and signed-out visits</t>
  </si>
  <si>
    <t xml:space="preserve">1. Replace the page address with /dashboard/not-a-page and press Enter.
2. Open the account menu (your name, top right) and choose "Logout", then confirm "Log Out".
3. Now type /dashboard/officer in the address bar and press Enter.
4. Sign in again. Then type /login in the address bar and press Enter.</t>
  </si>
  <si>
    <t>The unknown address takes you to your Dashboard. After logout, the officer page address sends you to the sign-in page and shows no data.</t>
  </si>
  <si>
    <t>VERIFY: when already signed in, /login should send you to your Dashboard instead of showing the sign-in form.</t>
  </si>
  <si>
    <t>SBO-011</t>
  </si>
  <si>
    <t>Open and use the side menu on a phone</t>
  </si>
  <si>
    <t>Signed in as an SBO Officer of PSITS-CCS (900004 Treasurer, 900005 Auditor, 900006 Public Information Officer or 900007 Business Manager). Use the password the demo owner gave you. Use a phone or a browser window narrower than 1024 pixels.</t>
  </si>
  <si>
    <t xml:space="preserve">1. Sign in on the phone.
2. Tap the "Open menu" button at the top left.
3. Tap "Events and tasks", then tap "Check-in".
4. Check that the menu closes and the Check-in page opens.
5. Scroll down the page and try to scroll sideways.
6. Tap "Open menu" again and tap "Close menu".</t>
  </si>
  <si>
    <t>The menu slides open, the pages open from it, and "Close menu" hides it. The page fits the screen with no sideways scrolling. All buttons are big enough to tap without zooming.</t>
  </si>
  <si>
    <t>SBO-012</t>
  </si>
  <si>
    <t>Go to page search shows only officer pages</t>
  </si>
  <si>
    <t xml:space="preserve">1. Click "Go to page" in the top bar (or press Ctrl and K).
2. Type check and press Enter on "Check-in".
3. Open "Go to page" again and type inventory.
4. Clear it and type new ann.
5. Press Escape to close it.</t>
  </si>
  <si>
    <t>"Check-in" is found and opens. For inventory the list says: No pages match "inventory". "New announcement" is found and opens the announcement form. Admin pages never appear in the list.</t>
  </si>
  <si>
    <t>SBO-013</t>
  </si>
  <si>
    <t>Logging out asks to confirm and ends the session</t>
  </si>
  <si>
    <t xml:space="preserve">1. Click your name (top right, "Account menu for ...").
2. Click "Logout".
3. In the box "Log Out" click "Cancel" and check you are still signed in.
4. Open the account menu again, click "Logout", then click "Log Out".
5. Press the browser Back button.</t>
  </si>
  <si>
    <t>The box says "You will need to sign in again to access your dashboard." Cancel keeps you signed in. Confirming returns you to the sign-in page.</t>
  </si>
  <si>
    <t>VERIFY: after Back, the dashboard must not show data and you are sent to sign in.</t>
  </si>
  <si>
    <t>SBO-014</t>
  </si>
  <si>
    <t>Dashboard shows the work snapshot, urgent tasks and task chart</t>
  </si>
  <si>
    <t>Signed in as an SBO Officer of PSITS-CCS (900004 Treasurer, 900005 Auditor, 900006 Public Information Officer or 900007 Business Manager). Use the password the demo owner gave you. Run this in round 1, before the SAO activates a semester, so the seeded events and tasks still show (docs/MEMBER_TESTING.md section 3). At least one task is assigned to this officer (ask the Admin 900001 to assign one in Tasks if there is none).</t>
  </si>
  <si>
    <t xml:space="preserve">1. Click "Dashboard" in the menu.
2. Read the four cards under "Operations snapshot".
3. Read the table "Urgent Tasks" (Task, Assignee, Deadline, Status).
4. Read the bars under "Task Status Distribution".
5. Click "View all" at the top right of "Urgent Tasks".</t>
  </si>
  <si>
    <t>The cards are "Open Tasks" (pending and in progress), "Upcoming Events", "Completed Tasks" and "Pending Orders". "Urgent Tasks" lists at most 4 open tasks, nearest deadline first. Each bar shows a count and a percent. "View all" opens My tasks. The "Open Tasks" number equals Pending plus In Progress on My tasks. Only tasks assigned to you are counted.</t>
  </si>
  <si>
    <t>SBO-015</t>
  </si>
  <si>
    <t>Quick Actions buttons go to the right pages</t>
  </si>
  <si>
    <t xml:space="preserve">1. On the Dashboard find the box "Quick Actions".
2. Click "My tasks" and note the page. Go back to the Dashboard.
3. Click "Check-in", then go back. Click "My Receipts", then go back.
4. Click "New announcement".</t>
  </si>
  <si>
    <t>"My tasks" opens My tasks. "Check-in" opens Check-in. "My Receipts" opens My receipts under My activity. "New announcement" opens the New announcement form. No button leads to a closed page.</t>
  </si>
  <si>
    <t>SBO-016</t>
  </si>
  <si>
    <t>Items in Your work queue open the exact record</t>
  </si>
  <si>
    <t>Signed in as an SBO Officer of PSITS-CCS (900004 Treasurer, 900005 Auditor, 900006 Public Information Officer or 900007 Business Manager). Use the password the demo owner gave you. There is something that needs the officer, for example a new order waiting for payment checks or a task due soon.</t>
  </si>
  <si>
    <t xml:space="preserve">1. On the Dashboard find the box "Your work queue".
2. Click the first item in it.
3. Check the page you land on, then go back to the Dashboard.
4. Scroll to "What HIUSA noticed" if it is shown and click one insight link.</t>
  </si>
  <si>
    <t>Each item opens a page the officer is allowed to use and shows the related record (for example the order in Store &gt; Orders, or the task in My tasks). No link bounces you back to the Dashboard.</t>
  </si>
  <si>
    <t>VERIFY: the items depend on the data, so write down what you saw if the box is empty.</t>
  </si>
  <si>
    <t>SBO-017</t>
  </si>
  <si>
    <t>Dashboard for an officer with nothing assigned</t>
  </si>
  <si>
    <t>Signed in as an SBO Officer of PSITS-CCS (900004 Treasurer, 900005 Auditor, 900006 Public Information Officer or 900007 Business Manager). Use the password the demo owner gave you. Run this in round 2, after the SAO has activated a semester, because the seeded events, tasks and election no longer show (docs/MEMBER_TESTING.md section 3). This officer has no tasks, no events and no pending orders.</t>
  </si>
  <si>
    <t xml:space="preserve">1. Open the Dashboard.
2. Read the section "Work queue".
3. Click "Open My tasks".</t>
  </si>
  <si>
    <t>Instead of a wall of zeros the page says "No work has been assigned to you yet" with the help text "Tasks, orders to verify and events show up here once your Admin assigns them. Start by opening My tasks." and a button "Open My tasks". The Quick Actions box is still shown.</t>
  </si>
  <si>
    <t>VERIFY: the first-run view only shows when every count is zero.</t>
  </si>
  <si>
    <t>SBO-018</t>
  </si>
  <si>
    <t>Check someone in by hand</t>
  </si>
  <si>
    <t>Signed in as an SBO Officer of PSITS-CCS (900004 Treasurer, 900005 Auditor, 900006 Public Information Officer or 900007 Business Manager). Use the password the demo owner gave you. Run this in round 1, before the SAO activates a semester, so the seeded events and tasks still show (docs/MEMBER_TESTING.md section 3). One event is "Ongoing" or "Approved" (ask the Admin 900001 to set one). Student 2100142 is not yet checked in to it. This is officer journey 1 in docs/MEMBER_TESTING.md section 4 (4 clicks).</t>
  </si>
  <si>
    <t xml:space="preserve">1. Open Events and tasks &gt; Check-in.
2. If you see an "Event queue", click the event (button "Open attendance for ..."). A single ongoing event opens by itself.
3. Write down the number under "Attendance records".
4. In the box "Manual check-in" type 2100142 into "Member".
5. Click the matching result (it shows the name and "2100142 · Student").
6. Leave "Attendance status" on Present and click "Confirm Check-In".</t>
  </si>
  <si>
    <t>A green message says "Check-in recorded." The Member box is emptied. "Attendance records" goes up by 1. The student appears in the attendance log with status Present and method Manual. A mistyped ID is never recorded because you must pick the result and then confirm.</t>
  </si>
  <si>
    <t>SBO-019</t>
  </si>
  <si>
    <t>Confirm Check-In waits for a chosen member and saves Late and Excused</t>
  </si>
  <si>
    <t>Signed in as an SBO Officer of PSITS-CCS (900004 Treasurer, 900005 Auditor, 900006 Public Information Officer or 900007 Business Manager). Use the password the demo owner gave you. An open event is on screen in Check-in. Two students who are not yet checked in, for example 2100217 and 2200055.</t>
  </si>
  <si>
    <t xml:space="preserve">1. Look at the button "Confirm Check-In" while the Member box is empty.
2. Type 2100217 but do not click the result. Look at the button again.
3. Click the result, set "Attendance status" to Late and click "Confirm Check-In".
4. Check in 2200055 with the status Excused.
5. Read the cards at the top ("Late") and the attendance log.</t>
  </si>
  <si>
    <t>The button is greyed out until a result is clicked. Typing alone is not enough. Both check-ins save with "Check-in recorded." The log shows Late and Excused chips. The "Late" card goes up by 1 for the Late record. The choices in the list are Present, Late, Excused and Absent.</t>
  </si>
  <si>
    <t>SBO-020</t>
  </si>
  <si>
    <t>Checking in the same member twice is refused</t>
  </si>
  <si>
    <t>Signed in as an SBO Officer of PSITS-CCS (900004 Treasurer, 900005 Auditor, 900006 Public Information Officer or 900007 Business Manager). Use the password the demo owner gave you. An open event is on screen in Check-in. Student 2100142 is already in the attendance log of that event.</t>
  </si>
  <si>
    <t xml:space="preserve">1. Type 2100142 in "Member" and click the result.
2. Click "Confirm Check-In".
3. Read the red message.
4. Look at the number under "Attendance records" and the attendance log.</t>
  </si>
  <si>
    <t>A red message such as "This member is already checked in for this event." appears. The count does not change and the student has one row only.</t>
  </si>
  <si>
    <t>VERIFY: the exact words of the message.</t>
  </si>
  <si>
    <t>SBO-021</t>
  </si>
  <si>
    <t>Member search finds only members of your own organization</t>
  </si>
  <si>
    <t>Signed in as an SBO Officer of PSITS-CCS (900004 Treasurer, 900005 Auditor, 900006 Public Information Officer or 900007 Business Manager). Use the password the demo owner gave you. An open event is on screen in Check-in. Student 2400118 belongs to another organization (FES-CTE).</t>
  </si>
  <si>
    <t xml:space="preserve">1. Type zzzz in "Member".
2. Clear the box and type 2400118.
3. Clear the box and type a few letters of a PSITS-CCS student name.</t>
  </si>
  <si>
    <t>For zzzz and for 2400118 the page says "No matching members found." and the button stays greyed out. A PSITS-CCS student name shows matching results. Nobody from another organization can be checked in.</t>
  </si>
  <si>
    <t>SBO-022</t>
  </si>
  <si>
    <t>Check-in lists only approved and ongoing events</t>
  </si>
  <si>
    <t>Signed in as an SBO Officer of PSITS-CCS (900004 Treasurer, 900005 Auditor, 900006 Public Information Officer or 900007 Business Manager). Use the password the demo owner gave you. Run once in round 1 and once in round 2 (docs/MEMBER_TESTING.md section 3).</t>
  </si>
  <si>
    <t xml:space="preserve">1. Open Events and tasks &gt; Check-in.
2. Read the line "N events open for check-in".
3. Compare the "Event queue" with the events in Events and tasks &gt; Calendar and note their statuses.
4. In round 2 read the page when no event is listed.
5. If no event is ongoing, click the link "Go to Events" in the grey line.</t>
  </si>
  <si>
    <t>Only events with status Approved or Ongoing are listed. Ongoing ones come first with a green dot. Planning, completed and cancelled events are missing. When none is ongoing the page says "No event is ongoing right now." with "Go to Events", which opens Calendar. When none is listed at all it says "No events ready for check-in" and "Approved and ongoing events will appear here."</t>
  </si>
  <si>
    <t>SBO-023</t>
  </si>
  <si>
    <t>Search, filter and export the attendance log</t>
  </si>
  <si>
    <t>Signed in as an SBO Officer of PSITS-CCS (900004 Treasurer, 900005 Auditor, 900006 Public Information Officer or 900007 Business Manager). Use the password the demo owner gave you. An event with at least 3 attendance records of different statuses is open in Check-in.</t>
  </si>
  <si>
    <t xml:space="preserve">1. Type part of one student name in "Search attendance".
2. Clear it and set "Filter attendance status" to Late.
3. Set it back to "All statuses" and click "Export CSV".
4. Type nonsense letters in "Search attendance".
5. Click "Refresh live data" at the top of the event.</t>
  </si>
  <si>
    <t>The list narrows and the pill shows how many are "matching". A file named attendance-&lt;event id&gt;-&lt;date&gt;.csv downloads with columns such as School ID, Name, Status, Method, Check In and Recorded By. Nonsense shows "No attendance records match the filters." Refresh reloads the numbers.</t>
  </si>
  <si>
    <t>SBO-024</t>
  </si>
  <si>
    <t>Fingerprint check-in card when the reader is missing, and when it is present</t>
  </si>
  <si>
    <t>Signed in as an SBO Officer of PSITS-CCS (900004 Treasurer, 900005 Auditor, 900006 Public Information Officer or 900007 Business Manager). Use the password the demo owner gave you. An open event is on screen in Check-in. Most test copies have no fingerprint reader. If you have a DigitalPersona reader and enrolled students, run steps 6 to 8 too.</t>
  </si>
  <si>
    <t xml:space="preserve">1. Find the card "Fingerprint check-in / checkout".
2. Read the coloured status line inside it.
3. Click the small refresh icon (Retry fingerprint reader).
4. Try to click "Scan Fingerprint".
5. Then use "Manual check-in" for a student to confirm it still works.
6. With a reader: click "Scan Fingerprint" and place one finger.
7. Read the window "Confirm Fingerprint Check-In" and click "Confirm Check-In".
8. Try "No, Scan Again" on another scan.</t>
  </si>
  <si>
    <t>Without a reader the line says "Reader unavailable" with "Connect the reader and make sure HID Authentication Device Client is running.", and "Scan Fingerprint" is greyed out. Manual check-in still works. With a reader the line says "DigitalPersona reader ready"; a match opens a window that names the student; confirming adds a record with method Biometric; "No, Scan Again" cancels without a record.</t>
  </si>
  <si>
    <t>VERIFY: the reader steps (no hardware seen when this case was written).</t>
  </si>
  <si>
    <t>SBO-025</t>
  </si>
  <si>
    <t>Check someone in from a phone</t>
  </si>
  <si>
    <t>Signed in as an SBO Officer of PSITS-CCS (900004 Treasurer, 900005 Auditor, 900006 Public Information Officer or 900007 Business Manager). Use the password the demo owner gave you. Run this in round 1, before the SAO activates a semester, so the seeded events and tasks still show (docs/MEMBER_TESTING.md section 3). Use a phone. An open event exists. Student 2200134 is not yet checked in.</t>
  </si>
  <si>
    <t xml:space="preserve">1. Open Events and tasks &gt; Check-in from the menu.
2. Tap the event under "Event queue".
3. Type 2200134 in "Member" and tap the result.
4. Tap "Confirm Check-In".
5. Scroll to the attendance log and read the first card.
6. Tap "All Events" to go back to the list.</t>
  </si>
  <si>
    <t>On a phone the list and the event are shown one at a time. After step 4 you see "Check-in recorded." The log shows a card with the name, a status chip, the check-in time and the method. "All Events" returns to the queue. Nothing runs off the screen.</t>
  </si>
  <si>
    <t>SBO-026</t>
  </si>
  <si>
    <t>Events and tasks &gt; Calendar</t>
  </si>
  <si>
    <t>Browse events in list and calendar view with filters</t>
  </si>
  <si>
    <t>Signed in as an SBO Officer of PSITS-CCS (900004 Treasurer, 900005 Auditor, 900006 Public Information Officer or 900007 Business Manager). Use the password the demo owner gave you. Run this in round 1, before the SAO activates a semester, so the seeded events and tasks still show (docs/MEMBER_TESTING.md section 3).</t>
  </si>
  <si>
    <t xml:space="preserve">1. Open Events and tasks &gt; Calendar.
2. Read the four cards (Total Events, Upcoming, Completed, Total Tasks).
3. Type part of an event title in "Search events".
4. Change "Status" and "Sort by", then clear the filters.
5. Click "Calendar view" (button with the calendar icon), then "List view".
6. Click "View details" on one event.</t>
  </si>
  <si>
    <t>The page title is Calendar. The list can be searched, filtered by date and status, and sorted. When nothing matches it says "No events match these filters" with a way to clear. The calendar view shows a month grid; clicking an event opens its details. If the "Academic period" box is set to a closed semester the page says "Viewing completed semester records. New events use only the active period."</t>
  </si>
  <si>
    <t>SBO-027</t>
  </si>
  <si>
    <t>An officer cannot propose, edit or delete events</t>
  </si>
  <si>
    <t xml:space="preserve">1. Open Events and tasks &gt; Calendar.
2. Look for the buttons "New event", "Edit event", "Delete event" and "Cancel event".
3. Open "View details" of an event and look for edit controls.
4. Replace the page address with /dashboard/events/manage-events and press Enter.</t>
  </si>
  <si>
    <t>None of those buttons exist for the officer and there is no Budget column. The event details are read only. The manage-events address returns you to the Dashboard. If the list is empty the page says "No events yet" and "Only your organization's Admin can propose events. Approved events appear here with their tasks and check-in."</t>
  </si>
  <si>
    <t>SBO-028</t>
  </si>
  <si>
    <t>Request an on-campus venue</t>
  </si>
  <si>
    <t>Signed in as an SBO Officer of PSITS-CCS (900004 Treasurer, 900005 Auditor, 900006 Public Information Officer or 900007 Business Manager). Use the password the demo owner gave you. The SAO has added at least one venue (VERIFY: check that the seed has venues; the list says "No venues available yet" if not).</t>
  </si>
  <si>
    <t xml:space="preserve">1. Open Events and tasks &gt; Venue booking.
2. In "Find a venue" choose a "Venue" and a "From" and "To" date and read the availability list.
3. Click "Request a venue".
4. Choose "On campus", pick a "Venue", set "Start" and "End" on one day between 5:00 AM and 10:00 PM.
5. Optionally pick an event in "Link to an event".
6. Click "Send request".</t>
  </si>
  <si>
    <t>A box "Booking request sent" shows "Venue request #n" with status Pending and the text "SAO will review this request. This is your booking reference, not an approval." After "Done" the request is listed under "My organization's requests" with status Pending. The SAO decides it later under Reviews &gt; Venues.</t>
  </si>
  <si>
    <t>SBO-029</t>
  </si>
  <si>
    <t>Venue request rejects missing or impossible times</t>
  </si>
  <si>
    <t>Signed in as an SBO Officer of PSITS-CCS (900004 Treasurer, 900005 Auditor, 900006 Public Information Officer or 900007 Business Manager). Use the password the demo owner gave you. The window "Request a venue booking" is open.</t>
  </si>
  <si>
    <t xml:space="preserve">1. Click "Send request" with every box empty.
2. Choose a venue, set "End" earlier than "Start" and click "Send request".
3. Set "Start" and "End" on two different days and click "Send request".
4. Set "Start" to 4:00 AM and "End" to 6:00 AM on the same day and click "Send request".
5. Set "Start" to 9:00 PM and "End" to 11:00 PM on the same day and click "Send request".
6. Switch "Venue type" to "Off campus", leave "Off-campus location" empty and click "Send request".</t>
  </si>
  <si>
    <t>Messages appear in red and nothing is sent: "Choose an on-campus venue or enter an off-campus location and both times." then "The end time must be after the start time." then "Choose a time on one day between 5:00 AM and 10:00 PM." A time that clashes with an approved booking is refused by the system (</t>
  </si>
  <si>
    <t>VERIFY: its wording).</t>
  </si>
  <si>
    <t>SBO-030</t>
  </si>
  <si>
    <t>Withdraw a pending venue request</t>
  </si>
  <si>
    <t>Signed in as an SBO Officer of PSITS-CCS (900004 Treasurer, 900005 Auditor, 900006 Public Information Officer or 900007 Business Manager). Use the password the demo owner gave you. One request of this organization is Pending.</t>
  </si>
  <si>
    <t xml:space="preserve">1. Find the pending request under "My organization's requests".
2. Click "Withdraw".
3. In "Withdraw this booking request?" click "Cancel" first and check nothing changed.
4. Click "Withdraw" again and then "Withdraw request".</t>
  </si>
  <si>
    <t>The message says "Booking request withdrawn." The status changes to Withdrawn and the Withdraw button disappears. The box said "SAO will be notified. You will need to submit a new request if you still need this venue."</t>
  </si>
  <si>
    <t>SBO-031</t>
  </si>
  <si>
    <t>Events and tasks &gt; My tasks</t>
  </si>
  <si>
    <t>Start my task</t>
  </si>
  <si>
    <t>Signed in as an SBO Officer of PSITS-CCS (900004 Treasurer, 900005 Auditor, 900006 Public Information Officer or 900007 Business Manager). Use the password the demo owner gave you. Run this in round 1, before the SAO activates a semester, so the seeded events and tasks still show (docs/MEMBER_TESTING.md section 3). A task assigned to this officer is Pending (ask the Admin 900001 to create one with Tasks &gt; New task). This is officer journey 3 in docs/MEMBER_TESTING.md section 4 (3 clicks).</t>
  </si>
  <si>
    <t xml:space="preserve">1. Open Events and tasks &gt; My tasks.
2. Write down the cards "Pending" and "In Progress" at the top.
3. Find the task and click "Start" in its Action column (on a phone: the card button "Start").
4. Read the status and the progress line of the task.</t>
  </si>
  <si>
    <t>The task status becomes "In progress" and the small stage bar moves forward. The "Start" button is replaced by "Complete". The top cards change: Pending goes down by 1 and In Progress goes up by 1. The progress is at least 1 percent.</t>
  </si>
  <si>
    <t>SBO-032</t>
  </si>
  <si>
    <t>Complete my task after a confirmation</t>
  </si>
  <si>
    <t>Signed in as an SBO Officer of PSITS-CCS (900004 Treasurer, 900005 Auditor, 900006 Public Information Officer or 900007 Business Manager). Use the password the demo owner gave you. A task assigned to this officer is "In progress".</t>
  </si>
  <si>
    <t xml:space="preserve">1. Open Events and tasks &gt; My tasks.
2. Click "Complete" on the in-progress task.
3. In the window "Confirm Task Completion" click "Cancel" and check the task did not change.
4. Click "Complete" again, then "Confirm Completion".
5. Read the task row and the top cards.</t>
  </si>
  <si>
    <t>The window says: Mark "&lt;task title&gt;" as completed? Progress will be saved at 100% and the Admin will be notified. After confirming, the task shows Completed with 100 percent, "Completed" goes up by 1 and the buttons "Start" and "Complete" are gone. The Admin gets a notification (check this on 900001 if you can).</t>
  </si>
  <si>
    <t>SBO-033</t>
  </si>
  <si>
    <t>Add a progress update and read the history</t>
  </si>
  <si>
    <t>Signed in as an SBO Officer of PSITS-CCS (900004 Treasurer, 900005 Auditor, 900006 Public Information Officer or 900007 Business Manager). Use the password the demo owner gave you. A task assigned to this officer is Pending or "In progress".</t>
  </si>
  <si>
    <t xml:space="preserve">1. Open Events and tasks &gt; My tasks and click "View task" in the row menu (on a phone "View details").
2. In "Add Progress Update" set "Progress (%)" to 40.
3. Type a short text in "Update note", for example "Poster draft done".
4. Click "Save Progress Update".
5. Scroll to "Progress History".</t>
  </si>
  <si>
    <t>The button "Save Progress Update" becomes available only after a note is typed. After saving, the progress shows 40% and "Progress History" has a new line with the status, 40%, the time, your note and "By &lt;your name&gt;". The same task row shows 40% complete.</t>
  </si>
  <si>
    <t>SBO-034</t>
  </si>
  <si>
    <t>Progress update needs a note and a sensible percent</t>
  </si>
  <si>
    <t>Signed in as an SBO Officer of PSITS-CCS (900004 Treasurer, 900005 Auditor, 900006 Public Information Officer or 900007 Business Manager). Use the password the demo owner gave you. The task detail window of one of your open tasks is open ("Add Progress Update").</t>
  </si>
  <si>
    <t xml:space="preserve">1. Leave "Update note" empty and look at "Save Progress Update".
2. Type a note with only spaces.
3. Type a real note and set "Progress (%)" to 150, then click "Save Progress Update".
4. Set "Progress (%)" to -5 and save again.</t>
  </si>
  <si>
    <t>With an empty or spaces-only note the button is greyed out. The percent field stops at 99 in the arrows. A percent above 100 or below 0 is refused and the task keeps its old progress.</t>
  </si>
  <si>
    <t>VERIFY: the exact error text and whether the task list stays usable after the error.</t>
  </si>
  <si>
    <t>SBO-035</t>
  </si>
  <si>
    <t>Task details window shows the stage, details and who set it</t>
  </si>
  <si>
    <t>Signed in as an SBO Officer of PSITS-CCS (900004 Treasurer, 900005 Auditor, 900006 Public Information Officer or 900007 Business Manager). Use the password the demo owner gave you. At least one task is assigned to this officer, ideally one linked to an event.</t>
  </si>
  <si>
    <t xml:space="preserve">1. Open Events and tasks &gt; My tasks and open "View task" on a task.
2. Read the title, the due date and the stage bar.
3. Read the box "Description", the box "Related Event" (if any) and the grey details (Assigned officer, Priority, Category, Required position, Progress, Academic period).
4. Close it with the X ("Close task details").</t>
  </si>
  <si>
    <t>The window shows the stage steps, a short "what next" message, the details above and "Progress History". The assigned officer is you. For a completed task the "Add Progress Update" box is not offered. There is no "Reopen task" button.</t>
  </si>
  <si>
    <t>SBO-036</t>
  </si>
  <si>
    <t>The officer sees only their own tasks and cannot manage tasks</t>
  </si>
  <si>
    <t>Signed in as an SBO Officer of PSITS-CCS (900004 Treasurer, 900005 Auditor, 900006 Public Information Officer or 900007 Business Manager). Use the password the demo owner gave you. Run this in round 1, before the SAO activates a semester, so the seeded events and tasks still show (docs/MEMBER_TESTING.md section 3). Another officer also has a task. Admin 900001 can see all tasks.</t>
  </si>
  <si>
    <t xml:space="preserve">1. Open Events and tasks &gt; My tasks and read the task list.
2. Look for the buttons "New task", "Edit", "Delete" and "Reopen", and for the switch "Board / Progress".
3. Look at the filters row for an assignee filter.
4. Replace the page address with /dashboard/tasks/task-board and press Enter.</t>
  </si>
  <si>
    <t>Only tasks assigned to you are listed, never another officer's. There is no "New task", "Edit", "Delete", "Reopen", no Board/Progress switch and no assignee filter. The task-board address returns you to the Dashboard. A completed task cannot be reopened by an officer.</t>
  </si>
  <si>
    <t>SBO-037</t>
  </si>
  <si>
    <t>Search and filter tasks</t>
  </si>
  <si>
    <t>Signed in as an SBO Officer of PSITS-CCS (900004 Treasurer, 900005 Auditor, 900006 Public Information Officer or 900007 Business Manager). Use the password the demo owner gave you. You have at least 3 tasks with different statuses (Admin 900001 can add them).</t>
  </si>
  <si>
    <t xml:space="preserve">1. Open Events and tasks &gt; My tasks.
2. Type part of a title in "Search tasks, assignees, or events".
3. Set "Filter tasks by status" to In progress, then "Filter tasks by priority" to High.
4. Pick a date in "Filter tasks by deadline".
5. Click the clear option shown with the active filters.
6. Change "Academic period" to a closed one if the list has one.</t>
  </si>
  <si>
    <t>The list and the count ("N tasks") follow each filter. Chips show the active filters. When nothing matches the page says "No tasks match these filters" and a clear button restores the list. A closed period shows the note "Completed semester tasks are available for viewing only." and the Start and Complete buttons are gone. Search only narrows the page on screen.</t>
  </si>
  <si>
    <t>SBO-038</t>
  </si>
  <si>
    <t>My tasks when nothing is assigned</t>
  </si>
  <si>
    <t>Signed in as an SBO Officer of PSITS-CCS (900004 Treasurer, 900005 Auditor, 900006 Public Information Officer or 900007 Business Manager). Use the password the demo owner gave you. Run this in round 2, after the SAO has activated a semester, because the seeded events, tasks and election no longer show (docs/MEMBER_TESTING.md section 3). This officer has no tasks.</t>
  </si>
  <si>
    <t xml:space="preserve">1. Open Events and tasks &gt; My tasks.
2. Read the cards at the top of the page.
3. Read the middle of the page.</t>
  </si>
  <si>
    <t>The page says "Nothing assigned to you yet" and "Your Admin delegates tasks here." The cards at the top show 0. There is no "Create your first task" button because only the Admin creates tasks.</t>
  </si>
  <si>
    <t>SBO-039</t>
  </si>
  <si>
    <t>A task that waits for another task cannot be started</t>
  </si>
  <si>
    <t>Signed in as an SBO Officer of PSITS-CCS (900004 Treasurer, 900005 Auditor, 900006 Public Information Officer or 900007 Business Manager). Use the password the demo owner gave you. A task that depends on another unfinished task is assigned to this officer. These come from a confirmed event plan (VERIFY: the seed may not have one; ask the Admin 900001 to confirm an AI event plan from Events and tasks &gt; Planning).</t>
  </si>
  <si>
    <t xml:space="preserve">1. Open Events and tasks &gt; My tasks and find the task marked Blocked.
2. Check whether a "Start" button is offered.
3. Open "View task" and read the message near the stage bar.
4. Finish the task it depends on (as the officer who owns it), then return to this task.</t>
  </si>
  <si>
    <t>The blocked task shows "Blocked" and "Blocked by &lt;title&gt;" and has no Start button. The detail window says the task must wait ("Finish that task first."). Once the other task is completed the Start button appears.</t>
  </si>
  <si>
    <t>SBO-040</t>
  </si>
  <si>
    <t>Update a task from a phone</t>
  </si>
  <si>
    <t>Signed in as an SBO Officer of PSITS-CCS (900004 Treasurer, 900005 Auditor, 900006 Public Information Officer or 900007 Business Manager). Use the password the demo owner gave you. Use a phone. A Pending task is assigned to this officer.</t>
  </si>
  <si>
    <t xml:space="preserve">1. Open Events and tasks &gt; My tasks.
2. Read the task card (title, status, progress bar, deadline).
3. Tap "Start" on the card.
4. Tap "View details" and add a progress note.
5. Tap "Complete" on the card and confirm.</t>
  </si>
  <si>
    <t>Tasks show as cards, not a wide table. The buttons "View details", "Start" and "Complete" are easy to tap. The status moves Pending, In progress, Completed. No sideways scrolling.</t>
  </si>
  <si>
    <t>SBO-041</t>
  </si>
  <si>
    <t>AI delegation page for an officer is read only</t>
  </si>
  <si>
    <t xml:space="preserve">1. Open Events and tasks &gt; AI delegation.
2. Read "AI Task Suggestions".
3. Read the box "How AI Delegation Works".
4. Look for any button that creates or assigns a task.</t>
  </si>
  <si>
    <t>The page lists suggestions for tasks assigned to you ("Recommended: &lt;name&gt;" with Role, Workload, Performance and Recency scores). With no scored task it says "Create a task to generate an eligible officer recommendation and score breakdown." The right box lists how filtering and scoring work. There are no create or assign buttons.</t>
  </si>
  <si>
    <t>VERIFY: what the page shows for an officer with no tasks.</t>
  </si>
  <si>
    <t>SBO-042</t>
  </si>
  <si>
    <t>The officer position decides who the system recommends for a task</t>
  </si>
  <si>
    <t>Two browsers or one private window. Admin 900001 and officers 900004 to 900007. Each officer has fewer than 5 open tasks (an officer with 5 or more open tasks is not eligible; VERIFY the limit in your copy).</t>
  </si>
  <si>
    <t xml:space="preserve">1. As Admin 900001 open Events and tasks &gt; Tasks and click "New task".
2. Type the title "Prepare budget report" and choose the Finance category, then click "Review officer recommendation". Write down who is "Recommended".
3. Repeat with the title "Design poster and promote on social media" and the Publicity category.
4. Repeat with the title "Set up venue equipment" and the Logistics category.
5. Create the logistics task for the recommended officer and sign in as that officer.
6. Open Events and tasks &gt; My tasks.</t>
  </si>
  <si>
    <t>Finance work is recommended first to the Treasurer (900004) or Auditor (900005). Publicity work goes to the Public Information Officer (900006). Logistics work goes to the Business Manager (900007). The best officer is tagged "Recommended" and the position fit is shown as a primary or related match. The created task appears in that officer's My tasks.</t>
  </si>
  <si>
    <t>VERIFY: scores depend on workload and history, so a different officer may rank first on a copy with many tasks.</t>
  </si>
  <si>
    <t>SBO-043</t>
  </si>
  <si>
    <t>Finance (view only) &gt; Budgets</t>
  </si>
  <si>
    <t>Budgets are readable but cannot be changed</t>
  </si>
  <si>
    <t xml:space="preserve">1. Open Finance (view only) &gt; Budgets.
2. Read the grey note at the top.
3. Look for the buttons "Propose budget", "Edit" and "Delete".
4. Open "View details" on a budget if one is listed.</t>
  </si>
  <si>
    <t>The note says "View only. You can review and export these records; the organization admin records and changes them." A box shows "Ledger net balance". There are no buttons to propose, edit or delete. If nothing is listed the page says "No budgets to show yet" and "Only the organization Admin proposes budgets. They appear here, with their approval stage, once the Admin proposes one."</t>
  </si>
  <si>
    <t>SBO-044</t>
  </si>
  <si>
    <t>Finance (view only) &gt; Ledger</t>
  </si>
  <si>
    <t>Ledger is read only with search and filters</t>
  </si>
  <si>
    <t xml:space="preserve">1. Open Finance (view only) &gt; Ledger.
2. Read the cards Income, Expenses, Net balance and Ledger entries.
3. Type a word in "Search transactions..." and press Enter.
4. Set "Filter by transaction type" to Expense and click "Apply".
5. Set "Filter from date" and "Filter to date" and click "Apply".
6. Look for "Record transaction", "Edit transaction" and "Delete transaction".</t>
  </si>
  <si>
    <t>Totals and the list follow the filters. When nothing matches the page says "No matching transactions" with a clear option. There is no way to record, edit or delete a transaction. With an empty ledger the page says "No transactions to show yet".</t>
  </si>
  <si>
    <t>VERIFY: the view-only note mentions export, check whether this page offers an export button.</t>
  </si>
  <si>
    <t>SBO-045</t>
  </si>
  <si>
    <t>Finance (view only) &gt; Financial reports</t>
  </si>
  <si>
    <t>Financial reports can be viewed, exported and printed but not prepared</t>
  </si>
  <si>
    <t>Signed in as an SBO Officer of PSITS-CCS (900004 Treasurer, 900005 Auditor, 900006 Public Information Officer or 900007 Business Manager). Use the password the demo owner gave you. At least one saved financial report exists (the Admin prepares it). If not, check only the empty state.</t>
  </si>
  <si>
    <t xml:space="preserve">1. Open Finance (view only) &gt; Financial reports.
2. Look for the panel "Prepare a report".
3. Type a word in "Search reports" and use "Filter reports by status".
4. Click "View details" on a report.
5. Click "Export Excel", then "Download PDF", then "Preview / print".</t>
  </si>
  <si>
    <t>There is no "Prepare a report" panel. Each saved report shows its type, a status such as draft or pending, and a stage bar. The three buttons produce a file or a print preview. With no reports the page says "No saved reports to show yet" and "Only the organization Admin prepares financial reports."</t>
  </si>
  <si>
    <t>SBO-046</t>
  </si>
  <si>
    <t>Finance (view only) &gt; Forecast</t>
  </si>
  <si>
    <t>Forecast is read only</t>
  </si>
  <si>
    <t xml:space="preserve">1. Open Finance (view only) &gt; Forecast.
2. Read the top of the page and the note.
3. Look for the button "Generate forecast".</t>
  </si>
  <si>
    <t>The note "View only..." is shown. There is no "Generate forecast" button. With no data the page says "No forecasts to show yet" and "Only the organization Admin generates forecasts. They appear here once one is generated." If a forecast exists a chart is shown.</t>
  </si>
  <si>
    <t>SBO-047</t>
  </si>
  <si>
    <t>My activity &gt; My receipts</t>
  </si>
  <si>
    <t>My receipts and Statement of account show the officer's own records</t>
  </si>
  <si>
    <t>Signed in as an SBO Officer of PSITS-CCS (900004 Treasurer, 900005 Auditor, 900006 Public Information Officer or 900007 Business Manager). Use the password the demo owner gave you. This officer bought something from the Shop that was approved (see the case "Officer buys from the Shop"), or has no purchases.</t>
  </si>
  <si>
    <t xml:space="preserve">1. Open My activity &gt; My receipts.
2. If a receipt card is shown click "View Receipt", then "Print receipt".
3. Open My activity &gt; Statement of account.
4. Read the heading and the table.</t>
  </si>
  <si>
    <t>My receipts is titled "Personal Receipts". With none it says "No receipts yet" and "A receipt appears here after a payment you made is verified by the organization." The Statement of account page is titled "Statement of Account &amp; Financial Clearance" and says "No invoices have been issued to you." when there are none. Only your own records show, never those of other members.</t>
  </si>
  <si>
    <t>SBO-048</t>
  </si>
  <si>
    <t>Members and fingerprints</t>
  </si>
  <si>
    <t>The member directory lists students only and can be searched</t>
  </si>
  <si>
    <t xml:space="preserve">1. Click "Members and fingerprints" in the menu.
2. Read the two cards at the top ("Students" and "Fingerprint directory").
3. Open the filter "All roles" and read its choices.
4. Type a student name in the search box "Search name, school ID, program, or email".
5. Use "Filter by program", "Filter by year level" and "Filter by section", then "Sort users".
6. Clear the filters.</t>
  </si>
  <si>
    <t>The page is titled "Members and fingerprints". The card "Fingerprint directory" says "Attendance use only". The role filter offers only "All roles" and "Student". Admins, officers and the Department Head are never listed. Search and filters narrow the table and the count; a column shows who has "Fingerprint enrolled". When nothing matches the page says "No users found."</t>
  </si>
  <si>
    <t>SBO-049</t>
  </si>
  <si>
    <t>The officer cannot create, edit, import or delete accounts</t>
  </si>
  <si>
    <t xml:space="preserve">1. Open Members and fingerprints from the menu.
2. Look at the top right of the first box for buttons "New User", "Import", "Export" and "Add existing user".
3. Open the row menu (three dots or the action icons) of one student.
4. Write down every action offered.</t>
  </si>
  <si>
    <t>None of "New User", "Import", "Export" or "Add existing user" is shown. The row actions are only "View profile", "Enroll fingerprint" (or "Re-enroll fingerprint") and "Verify identity (1:N)". There is no Edit user, Deactivate account or Delete profile. Account administration stays with the Admin.</t>
  </si>
  <si>
    <t>SBO-050</t>
  </si>
  <si>
    <t>View a student profile</t>
  </si>
  <si>
    <t xml:space="preserve">1. Open Members and fingerprints.
2. Choose "View profile" for student 2100142.
3. Read the window "User Profile".
4. Close the window.</t>
  </si>
  <si>
    <t>The window shows the student name, School ID, program, year, section, email and fingerprint state. Money owed is not shown to an officer. Closing returns to the list.</t>
  </si>
  <si>
    <t>SBO-051</t>
  </si>
  <si>
    <t>Fingerprint enrollment needs a reader and the member's consent</t>
  </si>
  <si>
    <t>Signed in as an SBO Officer of PSITS-CCS (900004 Treasurer, 900005 Auditor, 900006 Public Information Officer or 900007 Business Manager). Use the password the demo owner gave you. Most test copies have no fingerprint reader.</t>
  </si>
  <si>
    <t xml:space="preserve">1. Open Members and fingerprints and choose "Enroll fingerprint" for student 2100142.
2. Read the window "Enroll Fingerprint" and the status line.
3. Look at the main button and the box "Capture progress".
4. Tick the box "I confirm the user consented to biometric enrollment..." and look at the button again.
5. Close the window, then choose "Verify identity (1:N)" on the same row and read it.</t>
  </si>
  <si>
    <t>Without a reader the status says "Reader unavailable" and the start button stays greyed out even with the consent box ticked. Capture progress shows 0 / 4. With a reader and consent the button becomes available. "Verify Fingerprint Identity" explains that one scan is checked against every enrolled user of the organization.</t>
  </si>
  <si>
    <t>VERIFY: the exact label of the start button on a copy with a reader.</t>
  </si>
  <si>
    <t>SBO-052</t>
  </si>
  <si>
    <t>Voting &gt; Candidates</t>
  </si>
  <si>
    <t>Open an election and see its candidates</t>
  </si>
  <si>
    <t>Signed in as an SBO Officer of PSITS-CCS (900004 Treasurer, 900005 Auditor, 900006 Public Information Officer or 900007 Business Manager). Use the password the demo owner gave you. Run this in round 1, before the SAO activates a semester, so the seeded events and tasks still show (docs/MEMBER_TESTING.md section 3). One election exists (the seeded one).</t>
  </si>
  <si>
    <t xml:space="preserve">1. Open Voting &gt; Candidates.
2. Read the election card (status, Positions, Candidates, Votes, the line starting "Next:").
3. Type part of the title in the search box, then use "Filter elections by status".
4. Click "Open election".
5. Read "N candidates registered for &lt;election&gt;" and click a position button to filter.</t>
  </si>
  <si>
    <t>The card shows the election status and a stage bar. After "Open election" the election page lists candidates with name, position and party ("Independent" if none). Position buttons narrow the list. "View candidate details" shows the platform. There are no buttons to create, edit or delete an election.</t>
  </si>
  <si>
    <t>SBO-053</t>
  </si>
  <si>
    <t>Signed in as an SBO Officer of PSITS-CCS (900004 Treasurer, 900005 Auditor, 900006 Public Information Officer or 900007 Business Manager). Use the password the demo owner gave you. Run this in round 1, before the SAO activates a semester, so the seeded events and tasks still show (docs/MEMBER_TESTING.md section 3). The election is not closed and no vote has been cast yet. The ballot has at least one position.</t>
  </si>
  <si>
    <t xml:space="preserve">1. Open Voting &gt; Candidates and open the election.
2. Click "Add Candidate".
3. Type a student name in "Student *" and choose the student.
4. Choose a position in "Position *" and keep "Party List" on Independent.
5. Type a short text in "Platform Statement".
6. Click "Add Candidate" in the window.</t>
  </si>
  <si>
    <t>The window closes and a new card appears with the student, the position and the party "Independent". The count "candidates registered" goes up by 1. The same student is no longer offered in the list for this election.</t>
  </si>
  <si>
    <t>SBO-054</t>
  </si>
  <si>
    <t>Candidate form checks the required fields and the photo</t>
  </si>
  <si>
    <t>Signed in as an SBO Officer of PSITS-CCS (900004 Treasurer, 900005 Auditor, 900006 Public Information Officer or 900007 Business Manager). Use the password the demo owner gave you. The window "Add Candidate" is open. Have one PDF and one picture larger than 2 MB ready.</t>
  </si>
  <si>
    <t xml:space="preserve">1. Look at the button "Add Candidate" with nothing chosen.
2. Choose only a student and look at the button again.
3. Choose a position too.
4. Under "Candidate Photo" choose the PDF file.
5. Choose the picture larger than 2 MB.</t>
  </si>
  <si>
    <t>The button is greyed out until both "Student *" and "Position *" are chosen. The PDF is refused with "Candidate photo must be a JPEG, PNG, or WebP image." The big picture is refused with "Candidate photo must be 2 MB or smaller." A student who is already a candidate cannot be picked again.</t>
  </si>
  <si>
    <t>SBO-055</t>
  </si>
  <si>
    <t>Edit and remove a candidate, and what happens when the ballot is locked</t>
  </si>
  <si>
    <t>Signed in as an SBO Officer of PSITS-CCS (900004 Treasurer, 900005 Auditor, 900006 Public Information Officer or 900007 Business Manager). Use the password the demo owner gave you. Run this in round 1, before the SAO activates a semester, so the seeded events and tasks still show (docs/MEMBER_TESTING.md section 3). An election with one candidate. Later, an election that is closed or already has votes.</t>
  </si>
  <si>
    <t xml:space="preserve">1. On a candidate card click "Edit".
2. Change the party list or platform and click "Save Changes".
3. Click "Remove" on a candidate.
4. In "Remove Candidate" read the question and click "Remove".
5. Open an election that is closed or has votes and look at the cards.</t>
  </si>
  <si>
    <t>Saving shows the new details. Removal asks "Are you sure you want to remove this candidate from the election?" and then the card disappears. In a closed election or one with votes there is no "Add Candidate", "Edit" or "Remove", and a yellow note says "Candidate setup is locked because votes have already been cast."</t>
  </si>
  <si>
    <t>SBO-056</t>
  </si>
  <si>
    <t>Voting &gt; Voters</t>
  </si>
  <si>
    <t>Check voter turnout without seeing any ballot</t>
  </si>
  <si>
    <t xml:space="preserve">1. Open Voting &gt; Voters and open the election if asked.
2. Read the cards Total Voters, Voted, Not Yet Voted and Election Status.
3. Type a student name in "Search by name or school ID...".
4. Click the buttons "Voted", "Not Yet" and "All".
5. If there is more than one page use the page buttons at the bottom.</t>
  </si>
  <si>
    <t>The cards show totals and the turnout percent. The table shows Name, School ID, Role, Email and "Vote Status" (Voted or Not Yet). It never shows who a person voted for. Search and the buttons only apply to the page on screen. An empty election says "No eligible voters are registered in this organization yet."</t>
  </si>
  <si>
    <t>SBO-057</t>
  </si>
  <si>
    <t>Read election results</t>
  </si>
  <si>
    <t>Signed in as an SBO Officer of PSITS-CCS (900004 Treasurer, 900005 Auditor, 900006 Public Information Officer or 900007 Business Manager). Use the password the demo owner gave you. Run this in round 1, before the SAO activates a semester, so the seeded events and tasks still show (docs/MEMBER_TESTING.md section 3). An election with at least one vote (live totals) or a closed election (final results).</t>
  </si>
  <si>
    <t xml:space="preserve">1. Open Voting &gt; Results.
2. If several results are offered, click one under "Available results".
3. Read the winners and the vote counts per position.
4. Click a position button to filter.</t>
  </si>
  <si>
    <t>Totals are shown per position with "Votes cast", marked live or final depending on the election. Results can only be read, never changed.</t>
  </si>
  <si>
    <t>VERIFY: whether results show while voting is still open (live totals) depends on the election status.</t>
  </si>
  <si>
    <t>SBO-058</t>
  </si>
  <si>
    <t>The officer cannot create elections or manage party lists</t>
  </si>
  <si>
    <t xml:space="preserve">1. Open Voting &gt; Candidates and look for "Create your first election", "Edit", "Delete", "Open voting" and "Close".
2. Replace the page address with /dashboard/elections/manage-elections and press Enter.
3. Try /dashboard/elections/manage-partylists and /dashboard/approval-requests/new/election.
4. In round 2 read the page when no election is shown.</t>
  </si>
  <si>
    <t>None of those buttons is shown to an officer. Both Admin addresses return you to the Dashboard. When no election is shown the page says "No elections yet" and "Only the Admin creates elections. It appears here once the Department Head approves it." This is what an officer sees in round 2 when the seeded election has left the list.</t>
  </si>
  <si>
    <t>SBO-059</t>
  </si>
  <si>
    <t>My activity &gt; Vote</t>
  </si>
  <si>
    <t>An officer can vote once like any member</t>
  </si>
  <si>
    <t>Signed in as an SBO Officer of PSITS-CCS (900004 Treasurer, 900005 Auditor, 900006 Public Information Officer or 900007 Business Manager). Use the password the demo owner gave you. An election is Live (voting open). The Admin 900001 must open it first (Voting &gt; Elections) and the ballot must be finalized. Untested with the seed: VERIFY that one is open.</t>
  </si>
  <si>
    <t xml:space="preserve">1. Open My activity &gt; Vote.
2. Find the election and click "Vote in this election".
3. Choose your candidates and go through review.
4. Confirm the ballot.
5. Return to My activity &gt; Vote and read the election card.</t>
  </si>
  <si>
    <t>A ballot receipt is shown. The Vote page lists the election as Voted with "Your ballot receipt" and the receipt code. The card no longer offers "Vote in this election". A second vote is not possible.</t>
  </si>
  <si>
    <t>SBO-060</t>
  </si>
  <si>
    <t>Orders queue shows the summary and status tabs</t>
  </si>
  <si>
    <t>Signed in as an SBO Officer of PSITS-CCS (900004 Treasurer, 900005 Auditor, 900006 Public Information Officer or 900007 Business Manager). Use the password the demo owner gave you. At least one order exists (a student placed one in Store &gt; Shop).</t>
  </si>
  <si>
    <t xml:space="preserve">1. Open Store &gt; Orders.
2. Read the four cards under "Order summary".
3. Click the tabs "All orders", "Pending review", "Ready for pickup", "Claimed" and "Cancelled" one by one.
4. Read the line "N orders" next to "Order queue".
5. Read the chips on one order ("Officer: ..." and "Admin: ...").</t>
  </si>
  <si>
    <t>The cards are "Pending review", "Ready for pickup", "Claimed" and "Collected". Each tab shows only orders of that status and the count matches the card. Orders show ORD-n, the buyer, item, total and payment mode. Review chips show Officer and Admin steps. On the Dashboard the card "Pending Orders" shows the pending number (</t>
  </si>
  <si>
    <t>VERIFY: it matches "Pending review").</t>
  </si>
  <si>
    <t>SBO-061</t>
  </si>
  <si>
    <t>Search, filter, sort and export orders</t>
  </si>
  <si>
    <t>Signed in as an SBO Officer of PSITS-CCS (900004 Treasurer, 900005 Auditor, 900006 Public Information Officer or 900007 Business Manager). Use the password the demo owner gave you. Several orders exist.</t>
  </si>
  <si>
    <t xml:space="preserve">1. Type ORD- and an order number in "Search order, student, item, reference...".
2. Clear it and type a student name.
3. Choose an item in "Merchandise item" and a choice in "Sort orders".
4. Click "More filters", pick a program or "Payment method", then click "Clear all filters".
5. Click "Export CSV".</t>
  </si>
  <si>
    <t>Each filter narrows the list. When nothing matches the page says "No orders match these filters." with a way to clear. The export downloads a CSV of the filtered orders. With no orders at all the page says "No orders yet." and "Orders appear here when students check out from the Shop."</t>
  </si>
  <si>
    <t>SBO-062</t>
  </si>
  <si>
    <t>Verify a cash payment</t>
  </si>
  <si>
    <t>Signed in as an SBO Officer of PSITS-CCS (900004 Treasurer, 900005 Auditor, 900006 Public Information Officer or 900007 Business Manager). Use the password the demo owner gave you. Student 2100142 placed a cash order in Store &gt; Shop (add, cart, checkout with cash) and it is Pending. This is officer journey 2 in docs/MEMBER_TESTING.md section 4 (6 clicks).</t>
  </si>
  <si>
    <t xml:space="preserve">1. Open Store &gt; Orders and find the new order ORD-n.
2. Click "Verify" on its card (or the row menu "Actions for Order n" &gt; "Verify &amp; submit").
3. In the window "Verify Payment Amount" read the receipt and check the box "Amount verified" holds the order total.
4. Click "Verify &amp; Submit".
5. Read the order again.</t>
  </si>
  <si>
    <t>A message says "Order ORD-n submitted for Admin approval." The order shows "Verified: waiting for Admin approval", the chip "Officer: Approved" and "Admin: Pending", and the note "Token unlocks after Admin approval". No claim token is shown yet. The student's My orders shows "Payment verified: waiting for Admin approval" with no token.</t>
  </si>
  <si>
    <t>SBO-063</t>
  </si>
  <si>
    <t>Payment amount must match the order total</t>
  </si>
  <si>
    <t>Signed in as an SBO Officer of PSITS-CCS (900004 Treasurer, 900005 Auditor, 900006 Public Information Officer or 900007 Business Manager). Use the password the demo owner gave you. A Pending order is open in the window "Verify Payment Amount".</t>
  </si>
  <si>
    <t xml:space="preserve">1. Clear the box "Amount verified" and click "Verify &amp; Submit".
2. Type 0 and click "Verify &amp; Submit".
3. Type an amount lower than the order total and click "Verify &amp; Submit".
4. Close the window and read the order status.</t>
  </si>
  <si>
    <t>The messages are "Enter the verified payment amount." for empty and 0, and "The verified payment amount must exactly match the order total." for a wrong amount. The order stays Pending and Officer review stays Pending.</t>
  </si>
  <si>
    <t>SBO-064</t>
  </si>
  <si>
    <t>A payment already verified cannot be verified or rejected again by the officer</t>
  </si>
  <si>
    <t>Signed in as an SBO Officer of PSITS-CCS (900004 Treasurer, 900005 Auditor, 900006 Public Information Officer or 900007 Business Manager). Use the password the demo owner gave you. An order you already verified is still waiting for the Admin ("Verified: waiting for Admin approval").</t>
  </si>
  <si>
    <t xml:space="preserve">1. Open Store &gt; Orders and find that order.
2. Click "Verify" again and click "Verify &amp; Submit".
3. Read the message.
4. Close the window, click "Reject", type a reason and click "Reject Payment".
5. Read the message.</t>
  </si>
  <si>
    <t>Verifying again is refused with "This payment has already been submitted for admin approval." Rejecting is refused with "Review this payment from the Approvals module." The order does not change.</t>
  </si>
  <si>
    <t>VERIFY: the Verify and Reject buttons may still be shown on the card even though the system refuses them.</t>
  </si>
  <si>
    <t>SBO-065</t>
  </si>
  <si>
    <t>Reject a payment with a reason</t>
  </si>
  <si>
    <t>Signed in as an SBO Officer of PSITS-CCS (900004 Treasurer, 900005 Auditor, 900006 Public Information Officer or 900007 Business Manager). Use the password the demo owner gave you. A new Pending order that nobody has verified yet.</t>
  </si>
  <si>
    <t xml:space="preserve">1. Open Store &gt; Orders and click "Reject" on the order (or the row menu "Reject order").
2. Read the window "Reject Payment" and look at the red button with the box empty.
3. Type a reason in "Rejection reason".
4. Click "Reject Payment".
5. Read the order and then check the buyer's My orders.</t>
  </si>
  <si>
    <t>The red button is greyed out until a reason is typed. After rejecting, a message says "Order ORD-n marked as Cancelled." and the order shows Cancelled with "Order cancelled". The buyer sees it cancelled with the reason.</t>
  </si>
  <si>
    <t>VERIFY: the item stock goes back up after a rejection.</t>
  </si>
  <si>
    <t>SBO-066</t>
  </si>
  <si>
    <t>A GCash order without a payment proof cannot be verified</t>
  </si>
  <si>
    <t>Signed in as an SBO Officer of PSITS-CCS (900004 Treasurer, 900005 Auditor, 900006 Public Information Officer or 900007 Business Manager). Use the password the demo owner gave you. The Admin has uploaded a GCash QR (without it students cannot choose GCash). A student placed a GCash order and has not sent a proof.</t>
  </si>
  <si>
    <t xml:space="preserve">1. Open Store &gt; Orders and find the GCash order.
2. Click "Verify".
3. Read the red line in the window and look at the button "Verify &amp; Submit".
4. Ask the student to send the 13-digit reference and proof from My orders, then try again.
5. Click "View proof" in the receipt if it is shown.</t>
  </si>
  <si>
    <t>Before the proof: the window says "No payment proof is attached." and "Verify &amp; Submit" is greyed out. After the student sends the reference and picture, the button works and the proof can be opened.</t>
  </si>
  <si>
    <t>VERIFY: the proof link name.</t>
  </si>
  <si>
    <t>SBO-067</t>
  </si>
  <si>
    <t>The claim token only exists after the Admin approves the payment</t>
  </si>
  <si>
    <t>Signed in as an SBO Officer of PSITS-CCS (900004 Treasurer, 900005 Auditor, 900006 Public Information Officer or 900007 Business Manager). Use the password the demo owner gave you. An order you verified is waiting for the Admin. Admin 900001 is available in another browser.</t>
  </si>
  <si>
    <t xml:space="preserve">1. Open Store &gt; Orders and read the verified order. Note there is no token.
2. Open Store &gt; Claim desk and set the register to "Waiting to be claimed". Check the order is not there.
3. As Admin 900001 approve the payment (Approvals, or Store &gt; Orders &gt; Approve).
4. As the officer reload Store &gt; Orders and read the order again.
5. Open Store &gt; Claim desk again.</t>
  </si>
  <si>
    <t>Before approval: "Token unlocks after Admin approval" and the order is not in the claim desk register. After approval: the order shows "Ready for pickup" with a 16-character token, and the claim desk register lists it as "Waiting to be claimed". The student sees "Paid" and the token in My orders.</t>
  </si>
  <si>
    <t>SBO-068</t>
  </si>
  <si>
    <t>Release an order with its claim token</t>
  </si>
  <si>
    <t>Signed in as an SBO Officer of PSITS-CCS (900004 Treasurer, 900005 Auditor, 900006 Public Information Officer or 900007 Business Manager). Use the password the demo owner gave you. An order is "Ready for pickup" and its student has the 16-character token (shown in the student's My orders). This finishes officer journey 2 in docs/MEMBER_TESTING.md section 4.</t>
  </si>
  <si>
    <t xml:space="preserve">1. Open Store &gt; Claim desk.
2. Type or paste the token in "16-character claim token".
3. Click "Claim".
4. In "Verify purchaser and release" check the student ID and the items against the student standing in front of you.
5. Click "Confirm Claim / Release".
6. Check the order in Store &gt; Orders.</t>
  </si>
  <si>
    <t>A message says "Order claimed for &lt;first name&gt;." The token box is cleared. The register under "Claimed" lists the order and the order shows Claimed with the stage bar complete and "Released by &lt;your name&gt;". The student's My orders shows Claimed.</t>
  </si>
  <si>
    <t>SBO-069</t>
  </si>
  <si>
    <t>The token box cleans up what you type and rejects short or wrong tokens</t>
  </si>
  <si>
    <t>Signed in as an SBO Officer of PSITS-CCS (900004 Treasurer, 900005 Auditor, 900006 Public Information Officer or 900007 Business Manager). Use the password the demo owner gave you. You are on Store &gt; Claim desk. You know one valid token and have made up another 16-letter token.</t>
  </si>
  <si>
    <t xml:space="preserve">1. Type a token in small letters with spaces and dashes in it.
2. Type 10 characters only and click "Claim".
3. Type 16 made-up letters and numbers and click "Claim".
4. Read the message after each try.</t>
  </si>
  <si>
    <t>The box turns letters into capitals, drops spaces and symbols and stops at 16 characters. A short token shows "Token must be 16 letters/numbers." A made-up token shows "Invalid claim token." No order is released.</t>
  </si>
  <si>
    <t>SBO-070</t>
  </si>
  <si>
    <t>Signed in as an SBO Officer of PSITS-CCS (900004 Treasurer, 900005 Auditor, 900006 Public Information Officer or 900007 Business Manager). Use the password the demo owner gave you. An order was already released with token T (case "Release an order with its claim token").</t>
  </si>
  <si>
    <t xml:space="preserve">1. Open Store &gt; Claim desk.
2. Type the same token T in "16-character claim token".
3. Click "Claim".
4. Read the message and then check the order in Store &gt; Orders.</t>
  </si>
  <si>
    <t>The message says "This token has already been used." No second release window opens and the order still shows one release (same time and officer).</t>
  </si>
  <si>
    <t>SBO-071</t>
  </si>
  <si>
    <t>The claim desk register and its empty states</t>
  </si>
  <si>
    <t xml:space="preserve">1. Open Store &gt; Claim desk and read "Claim desk register".
2. Set "Filter claim tokens by status" to "Waiting to be claimed", then to "Claimed".
3. Click "Review order" on a row.
4. If a list is empty read the message and click "Open orders" if it is offered.</t>
  </si>
  <si>
    <t>Waiting orders show a token and the label "Waiting to be claimed". Released orders show "Claimed". "Review order" opens the order details. Empty lists say "Nothing is waiting at the claim desk." (with "Orders appear here once their payment is verified and the buyer has a claim token.") and "No orders have been claimed yet."</t>
  </si>
  <si>
    <t>SBO-072</t>
  </si>
  <si>
    <t>The officer can look at the GCash QR but not change it</t>
  </si>
  <si>
    <t xml:space="preserve">1. Open Store &gt; Orders.
2. Click the button "View GCash QR" above the order list.
3. Look for any button that changes or uploads the QR.</t>
  </si>
  <si>
    <t>The button for an officer reads "View GCash QR" (the Admin sees "Payment settings"). The window shows the QR and the GCash details for reading only. There is no upload or save.</t>
  </si>
  <si>
    <t>VERIFY: what the window shows when no QR was uploaded.</t>
  </si>
  <si>
    <t>SBO-073</t>
  </si>
  <si>
    <t>Merchandise stock is visible in the Shop</t>
  </si>
  <si>
    <t>Signed in as an SBO Officer of PSITS-CCS (900004 Treasurer, 900005 Auditor, 900006 Public Information Officer or 900007 Business Manager). Use the password the demo owner gave you. Items exist in the Store. The Admin can set one item to a very low stock and one to zero.</t>
  </si>
  <si>
    <t xml:space="preserve">1. Open My activity &gt; Shop.
2. Read the badge on each product ("N in stock", "LOW STOCK" or "OUT OF STOCK").
3. Type a word in "Search product, category, or description".
4. On a product with sizes open "Select variant" and read the choices.
5. Try the quantity box of a product that is out of stock.</t>
  </si>
  <si>
    <t>Every product shows its stock. An out of stock product has a greyed picture and its quantity box and buttons are disabled. A variant list shows the size and how many are available. After an order is placed the stock number goes down by the quantity ordered (VERIFY on your copy). An officer can only look at stock here; changing stock is not possible.</t>
  </si>
  <si>
    <t>SBO-074</t>
  </si>
  <si>
    <t>Inventory and stock changes are closed to the officer</t>
  </si>
  <si>
    <t xml:space="preserve">1. Look through the Store group in the menu for an Inventory page.
2. Replace the page address with /dashboard/merchandise/manage-inventory and press Enter.
3. Try /dashboard/merchandise/gcash-payment.
4. Look in Store &gt; Orders and Store &gt; Shop for buttons that add products or change stock.</t>
  </si>
  <si>
    <t>The Store group only has Orders and Claim desk. Both addresses return you to the Dashboard. There is no button to add a product, add stock, edit a product or set it inactive.</t>
  </si>
  <si>
    <t>SBO-075</t>
  </si>
  <si>
    <t>Officer buys from the Shop</t>
  </si>
  <si>
    <t>Signed in as an SBO Officer of PSITS-CCS (900004 Treasurer, 900005 Auditor, 900006 Public Information Officer or 900007 Business Manager). Use the password the demo owner gave you. An in-stock item exists.</t>
  </si>
  <si>
    <t xml:space="preserve">1. Open My activity &gt; Shop and click "Add to cart" on an item.
2. Click the Cart icon in the top bar and click "Open Cart".
3. Check out with Cash.
4. Open My activity &gt; My orders and read the order.
5. Open Store &gt; Orders and find the same order.</t>
  </si>
  <si>
    <t>My orders shows the order from the buyer side with the next step (for cash: "Pay cash at pickup"). The same order also appears in Store &gt; Orders under your own name with role SBO OFFICER.</t>
  </si>
  <si>
    <t>VERIFY: write down whether the system lets you verify your own order or not.</t>
  </si>
  <si>
    <t>SBO-076</t>
  </si>
  <si>
    <t>Verify a payment from a phone</t>
  </si>
  <si>
    <t>Signed in as an SBO Officer of PSITS-CCS (900004 Treasurer, 900005 Auditor, 900006 Public Information Officer or 900007 Business Manager). Use the password the demo owner gave you. Use a phone. A Pending cash order exists.</t>
  </si>
  <si>
    <t xml:space="preserve">1. Open Store &gt; Orders on the phone.
2. Read an order card (ORD number, buyer, item, total).
3. Tap "Review" and close it.
4. Tap "Verify" and read the window.
5. Tap "Verify &amp; Submit".</t>
  </si>
  <si>
    <t>Orders show as cards with large buttons "Review", "Verify" and "Reject". The verify window fits the screen and can be scrolled. After submitting you see "Order ORD-n submitted for Admin approval."</t>
  </si>
  <si>
    <t>SBO-077</t>
  </si>
  <si>
    <t>Officer sends an announcement for approval</t>
  </si>
  <si>
    <t>Signed in as an SBO Officer of PSITS-CCS (900004 Treasurer, 900005 Auditor, 900006 Public Information Officer or 900007 Business Manager). Use the password the demo owner gave you. This is officer journey 4 in docs/MEMBER_TESTING.md section 4 (4 clicks).</t>
  </si>
  <si>
    <t xml:space="preserve">1. Open Updates &gt; Announcements and click "New announcement".
2. Type a "Title".
3. Type the "Content".
4. Leave "Audience" on "All Members" and "Category" on "General".
5. Click "Submit for approval".
6. In the box "Submit for approval" click "Submit for approval" again.
7. Click "View in Announcements".</t>
  </si>
  <si>
    <t>The page says "Sent to your Admin for approval" and "It goes to All Members once the Admin approves it." There is no "Publish Now" or "Save Draft" button for an officer. In the list the row shows the yellow chip "Waiting for Admin approval". The header shows "Needs Admin approval". Students cannot see it in the Feed yet.</t>
  </si>
  <si>
    <t>SBO-078</t>
  </si>
  <si>
    <t>Announcement form needs a title and content and limits the title</t>
  </si>
  <si>
    <t>Signed in as an SBO Officer of PSITS-CCS (900004 Treasurer, 900005 Auditor, 900006 Public Information Officer or 900007 Business Manager). Use the password the demo owner gave you. The form "New announcement" is open.</t>
  </si>
  <si>
    <t xml:space="preserve">1. Look at the button "Submit for approval" with both fields empty and read the yellow note.
2. Type a title but leave the content empty.
3. Type only spaces in both fields.
4. Paste a title longer than 255 characters.
5. Under "Poster or image" pick a picture larger than 5 MB and submit.</t>
  </si>
  <si>
    <t>The yellow note says "Complete the title and content to enable these actions." and the button is greyed out. Spaces only do not count. The title stops at 255 characters. The big picture is refused by the system (</t>
  </si>
  <si>
    <t>VERIFY: its message) and nothing is sent.</t>
  </si>
  <si>
    <t>SBO-079</t>
  </si>
  <si>
    <t>Announcements list: summary, search, filters and export</t>
  </si>
  <si>
    <t>Signed in as an SBO Officer of PSITS-CCS (900004 Treasurer, 900005 Auditor, 900006 Public Information Officer or 900007 Business Manager). Use the password the demo owner gave you. Several announcements exist, written by officers and by the Admin.</t>
  </si>
  <si>
    <t xml:space="preserve">1. Open Updates &gt; Announcements and read the four numbers (Matching records, Published, Waiting for approval, Recorded views).
2. Type a word in "Search title, content, or author".
3. Change the Category, Audience and publication state filters and the Sort choice.
4. Set "Created from" and "Created to".
5. Click "Export CSV".
6. Clear the filters.</t>
  </si>
  <si>
    <t>The header says "Post updates for your organization. Each one goes to the Admin for approval before it is published." The numbers and the list follow the filters. A file announcements-&lt;date&gt;.csv downloads. When nothing matches the page says "No announcements match these filters". With none at all it says "No announcements yet" and "Write your first announcement. It goes to the Admin for approval before it is published."</t>
  </si>
  <si>
    <t>SBO-080</t>
  </si>
  <si>
    <t>An officer cannot change or publish someone else's announcement</t>
  </si>
  <si>
    <t>Signed in as an SBO Officer of PSITS-CCS (900004 Treasurer, 900005 Auditor, 900006 Public Information Officer or 900007 Business Manager). Use the password the demo owner gave you. A published announcement written by the Admin exists, and one written by another officer.</t>
  </si>
  <si>
    <t xml:space="preserve">1. Open Updates &gt; Announcements and find an announcement written by the Admin.
2. Click its three dots (Announcement actions).
3. Click its title to open the panel and read the message.
4. Do the same on an announcement written by another officer.</t>
  </si>
  <si>
    <t>For announcements of other people the only action is "View full record". The panel says "Only its author or the Admin can change it." There is no Edit, Delete, Publish or Unpublish.</t>
  </si>
  <si>
    <t>SBO-081</t>
  </si>
  <si>
    <t>Admin returns an announcement and the officer sends it again</t>
  </si>
  <si>
    <t>Signed in as an SBO Officer of PSITS-CCS (900004 Treasurer, 900005 Auditor, 900006 Public Information Officer or 900007 Business Manager). Use the password the demo owner gave you. Admin 900001 is available in another browser. An announcement of this officer is "Waiting for Admin approval".</t>
  </si>
  <si>
    <t xml:space="preserve">1. As Admin 900001 open Approvals, open the officer's announcement and return it with remarks.
2. As the officer click the bell and read the notification, then click "Open related record".
3. Open the announcement panel in Updates &gt; Announcements and read the message.
4. Click "Edit announcement", change the content and click "Save Record".
5. Read the chip on the row. Then as the Admin approve it and check Updates &gt; Feed as the officer.</t>
  </si>
  <si>
    <t>The chip becomes red "Returned" and the panel says "Returned by the Admin" with the Admin's remarks and "Edit it to send it for approval again." After saving the chip is "Waiting for Admin approval" again. After the Admin approves it the chip is "Published" and it appears in the Feed.</t>
  </si>
  <si>
    <t>SBO-082</t>
  </si>
  <si>
    <t>Editing a published announcement sends it back for approval, deleting removes it</t>
  </si>
  <si>
    <t>Signed in as an SBO Officer of PSITS-CCS (900004 Treasurer, 900005 Auditor, 900006 Public Information Officer or 900007 Business Manager). Use the password the demo owner gave you. One announcement written by this officer is already "Published".</t>
  </si>
  <si>
    <t xml:space="preserve">1. Click the three dots on your published announcement and choose "Edit announcement".
2. Change the title and click "Save Record".
3. Read the chip on the row and look for it in Updates &gt; Feed.
4. Click the three dots again and choose "Delete announcement".
5. In the box "Delete announcement" click "Delete".</t>
  </si>
  <si>
    <t>After editing, the chip becomes "Waiting for Admin approval" and it is hidden from the Feed until the Admin approves it again (VERIFY the hiding). After delete a message says "Announcement deleted." and the row is gone. The Admin's approval request for it is gone too.</t>
  </si>
  <si>
    <t>SBO-083</t>
  </si>
  <si>
    <t>Edit form offers an audience that the create form does not</t>
  </si>
  <si>
    <t>Signed in as an SBO Officer of PSITS-CCS (900004 Treasurer, 900005 Auditor, 900006 Public Information Officer or 900007 Business Manager). Use the password the demo owner gave you. One announcement written by this officer exists.</t>
  </si>
  <si>
    <t xml:space="preserve">1. Choose "Edit announcement" on your announcement.
2. Open the audience choice and read the list.
3. Choose "Super Admin" and click "Save Record".
4. Read the message.</t>
  </si>
  <si>
    <t>The list in the edit form is longer than the create form, which only has All Members, Officers Only, Students Only, Admins Only and Department Heads Only. Saving "Super Admin" must be refused with an error message and the announcement keeps its old audience.</t>
  </si>
  <si>
    <t>VERIFY: this is read from the code and was not seen on screen.</t>
  </si>
  <si>
    <t>SBO-084</t>
  </si>
  <si>
    <t>Generate a draft with AI</t>
  </si>
  <si>
    <t>Signed in as an SBO Officer of PSITS-CCS (900004 Treasurer, 900005 Auditor, 900006 Public Information Officer or 900007 Business Manager). Use the password the demo owner gave you. The form "New announcement" is open. AI drafting is switched off on a public test copy (docs/MEMBER_TESTING.md section 1), so run the success steps on a LAN copy.</t>
  </si>
  <si>
    <t xml:space="preserve">1. Look at the button "Generate Draft" while the Title is empty.
2. Type a Title.
3. Type facts in "Instructions for AI draft (optional)", for example a date and a place.
4. Click "Generate Draft".
5. Read the Content box and the counter at the top right of the AI box.</t>
  </si>
  <si>
    <t>The button is greyed out without a title. The counter reads "N of 20 drafts left today". On success the Content fills with text you can edit and the counter goes down by 1. When the AI is off the page shows "AI service is temporarily unavailable. Unable to generate the announcement draft." and you can still type your own text. At 0 left the button says "Daily limit reached".</t>
  </si>
  <si>
    <t>SBO-085</t>
  </si>
  <si>
    <t>The Feed shows only published announcements for officers</t>
  </si>
  <si>
    <t>Signed in as an SBO Officer of PSITS-CCS (900004 Treasurer, 900005 Auditor, 900006 Public Information Officer or 900007 Business Manager). Use the password the demo owner gave you. A published announcement for All Members exists, and one published for "Students Only".</t>
  </si>
  <si>
    <t xml:space="preserve">1. Open Updates &gt; Feed.
2. Read the posts: organization name, date, title, text.
3. Click "Like" on a post and click again.
4. Type a word in "Search announcements" and choose a value in "Announcement category".
5. Look for the "Students Only" post.</t>
  </si>
  <si>
    <t>The Feed lists only published and approved posts meant for All Members or for officers. Waiting and returned posts do not show. A post meant for Students Only does not show in the officer's Feed. "Like" turns into "Liked" with the count. With no match the page says "No announcements match"; with none at all "No announcements yet" and "Your officers post them here."</t>
  </si>
  <si>
    <t>SBO-086</t>
  </si>
  <si>
    <t>The New request page only offers announcements</t>
  </si>
  <si>
    <t xml:space="preserve">1. Click "Go to page" and type new request, then choose "New request".
2. Read the request types shown.
3. Click "Continue to request form".
4. Replace the page address with /dashboard/approval-requests/new/event and press Enter.</t>
  </si>
  <si>
    <t>Only one type is offered: "Announcement" with the text "Approved by the Admin before it is published." The button opens the New announcement form. The event address returns you to the Dashboard. Budget, Event and Election are not available to officers.</t>
  </si>
  <si>
    <t>SBO-087</t>
  </si>
  <si>
    <t>Clearance signing</t>
  </si>
  <si>
    <t>Sign student clearances for the organization</t>
  </si>
  <si>
    <t>Signed in as an SBO Officer of PSITS-CCS (900004 Treasurer, 900005 Auditor, 900006 Public Information Officer or 900007 Business Manager). Use the password the demo owner gave you. The SAO has opened a clearance period (SAO: Reviews &gt; Clearances). Without one only the empty state shows.</t>
  </si>
  <si>
    <t xml:space="preserve">1. Open Clearance signing and read the list or the empty message.
2. On a pending row click "Clear", read the window and click "Confirm clear".
3. On another pending row click "Hold", leave "Reason" empty and look at the button.
4. Type a reason (for example Unpaid organization dues) and click "Hold this signature".
5. Click "Select all pending" and then the button "Clear N selected" and confirm.</t>
  </si>
  <si>
    <t>With no period the page says "Nothing waiting on your signature" and "The SAO opens a clearance period each semester...". Clearing shows "Signature cleared." Holding needs a reason and shows "Signature put on hold." A held row offers "Clear hold" and shows "Reason: ...". The bulk window is "Clear selected signatures". Only your organization's students are listed; the SAO signature is never shown. The student sees the result in My clearance.</t>
  </si>
  <si>
    <t>SBO-088</t>
  </si>
  <si>
    <t>Notifications bell, reading and opening the related record</t>
  </si>
  <si>
    <t>Signed in as an SBO Officer of PSITS-CCS (900004 Treasurer, 900005 Auditor, 900006 Public Information Officer or 900007 Business Manager). Use the password the demo owner gave you. There is at least one unread notification (for example after a student placed an order, or the Admin assigned a task).</t>
  </si>
  <si>
    <t xml:space="preserve">1. Click the bell icon "Notifications" in the top bar.
2. Read the title "Notifications" and the number "N new".
3. Click one notification.
4. Click "Open related record".
5. Reopen the bell and click "Mark all as read".</t>
  </si>
  <si>
    <t>The panel lists the latest notifications, unread ones highlighted. Opening one shows the full text with "Back to notifications". "Open related record" lands on the exact item (an order opens Store &gt; Orders, a task opens My tasks, a decision on an announcement opens Updates &gt; Announcements). "Mark all as read" removes the "new" badge. With none, the panel says "No notifications yet".</t>
  </si>
  <si>
    <t>SBO-089</t>
  </si>
  <si>
    <t>Edit personal information and notification choices</t>
  </si>
  <si>
    <t>Signed in as an SBO Officer of PSITS-CCS (900004 Treasurer, 900005 Auditor, 900006 Public Information Officer or 900007 Business Manager). Use the password the demo owner gave you. Write down your current mobile number and email so you can put them back after the test.</t>
  </si>
  <si>
    <t xml:space="preserve">1. Open Profile.
2. Change "Mobile number (optional)" and look at "Save profile" and "Discard changes".
3. Click "Save profile".
4. Clear "First name" and click "Save profile".
5. Type letters in "Mobile number (optional)" and click "Save profile".
6. Switch one choice under "Notifications" (for example "Merchandise orders") off and on.
7. Open the account menu in the top bar (your name) and read the section "Profiles".</t>
  </si>
  <si>
    <t>The buttons stay greyed out until something changes. Saving shows "Profile changes saved." An empty name shows "First name, last name, and email are required." Letters in the mobile number are refused by the system (</t>
  </si>
  <si>
    <t>VERIFY: its message). Each notification switch shows a message such as "Merchandise orders hidden from your notifications". The Profile page also lists "Your recent activity". The "Profiles" section of the account menu shows your organization and says "This is your only active profile."</t>
  </si>
  <si>
    <t>SBO-090</t>
  </si>
  <si>
    <t>Change my password and the rules it must follow</t>
  </si>
  <si>
    <t>Signed in as an SBO Officer of PSITS-CCS (900004 Treasurer, 900005 Auditor, 900006 Public Information Officer or 900007 Business Manager). Use the password the demo owner gave you. Warning: all testers may share this account. Change it only if the demo owner agrees, and change it back straight away to the password you were given.</t>
  </si>
  <si>
    <t xml:space="preserve">1. Open Profile and find "Password &amp; security".
2. Click "Update password" with every box empty.
3. Fill "Current password" with a wrong password, a valid "New password" twice, and click "Update password".
4. Use a new password shorter than 8 characters, then two different passwords in "New password" and "Confirm new password".
5. Click the eye icon next to a box ("Show new password").
6. Do a correct change and then change it back.</t>
  </si>
  <si>
    <t>Messages: "Current password, new password, and confirmation are required." then "Current password is incorrect." then "New password must be at least 8 characters." then "New passwords do not match." The two checks "At least 8 characters" and "New passwords match" turn green when true. The eye shows and hides the typed text. A correct change shows "Password updated. Your other devices were signed out." and you stay signed in here. Other browsers are logged out.</t>
  </si>
  <si>
    <t>SBO-091</t>
  </si>
  <si>
    <t>Check a member in on an event that was created in the active semester</t>
  </si>
  <si>
    <t>Run after ADM-062 and DH-041 (and after ADM-069 and SAO-059 when SAO files apply)</t>
  </si>
  <si>
    <t>Signed in as an SBO Officer of PSITS-CCS (900004 Treasurer, 900005 Auditor, 900006 Public Information Officer or 900007 Business Manager). Use the password the demo owner gave you. Round 2: the SAO has activated a semester. Admin 900001 proposed a new event with dates inside that semester, Department Head 940001 approved it (and the SAO cleared the event files if they were needed), so the event is Approved or Ongoing. Student 2100142 is not yet checked in to it. The seeded events are gone from the lists in this round.</t>
  </si>
  <si>
    <t xml:space="preserve">1. Open Events and tasks &gt; Check-in.
2. In the "Event queue" click the new event (button "Open attendance for ..."). A single ongoing event opens by itself.
3. Write down the number under "Attendance records".
4. In the box "Manual check-in" type 2100142 into "Member" and click the matching result.
5. Leave "Attendance status" on Present and click "Confirm Check-In".
6. Read the message and the number under "Attendance records" again.</t>
  </si>
  <si>
    <t>A green message says "Check-in recorded." and the number goes up by 1. The student shows in the log as Present, method Manual. The message "Historical semester events are read only." does NOT appear, because the event belongs to the semester that is active now. This is the branch behind the server check EnsureCurrentEventSemester: an event of the active semester passes, an event of a closed semester is refused (see GEN-108). Only events of the active semester are in the queue in this round.</t>
  </si>
  <si>
    <t>SBO-092</t>
  </si>
  <si>
    <t>Study objectives evidence links open pages an officer may see</t>
  </si>
  <si>
    <t>Signed in as an SBO Officer of PSITS-CCS (900004 Treasurer, 900005 Auditor, 900006 Public Information Officer or 900007 Business Manager). Use the password the demo owner gave you. Some activity exists (events, orders, an election), so the counts are not all zero.</t>
  </si>
  <si>
    <t xml:space="preserve">1. Scroll to the bottom of the left menu and click "Study objectives".
2. Find an evidence tile that has an arrow on its right (for example "Check-ins recorded manually" or "Orders placed") and click it.
3. Go back and click a tile that has no arrow (for example "Notifications delivered").
4. Go back and click a tile about tasks or AI event plans (for example "AI event plans generated").
5. Write down every tile that opened a page and the page it opened.</t>
  </si>
  <si>
    <t>A tile with an arrow is a link. It opens a page that is in the officer menu, for example Check-in, Orders, Claim desk, Calendar, Results, Ledger, Budgets, Forecast or AI delegation, and it never ends on a "not allowed" redirect to the Dashboard. A tile without an arrow is plain text and does nothing when clicked. Tiles whose page an officer may not open ("AI event plans generated" and "Tasks delegated with a recorded ranking") have no arrow.</t>
  </si>
  <si>
    <t>VERIFY: the exact tiles that carry an arrow for an officer (from the server route list: Check-in, Calendar, AI delegation, Budgets, Ledger, Forecast, My receipts, Elections and Results, Orders, Claim desk, Announcements).</t>
  </si>
  <si>
    <t>SBO-093</t>
  </si>
  <si>
    <t>Remove a fingerprint enrollment after the confirm window (needs the reader)</t>
  </si>
  <si>
    <t>Run after SBO-051 (needs an enrolled student and the reader)</t>
  </si>
  <si>
    <t>Signed in as an SBO Officer of PSITS-CCS (900004 Treasurer, 900005 Auditor, 900006 Public Information Officer or 900007 Business Manager). Use the password the demo owner gave you. Hardware: this needs the fingerprint reader and a student who is already enrolled (enroll one first, see SBO-051 and ADM-042). Without a reader the Remove button never shows because nobody can be enrolled: report the case as Blocked.</t>
  </si>
  <si>
    <t xml:space="preserve">1. Open Members and fingerprints and find the enrolled student. A small fingerprint icon ("Fingerprint enrolled") sits in the row.
2. Open the row menu and choose "Re-enroll fingerprint".
3. In the window "Re-enroll Fingerprint" click "Remove".
4. Read the window "Remove Fingerprint Enrollment" and click Cancel.
5. Click "Remove" again and then click "Remove Fingerprint".
6. Read the message, then check the row and its menu.</t>
  </si>
  <si>
    <t>The confirm window names the student with the School ID and says "The encrypted fingerprint template will be removed. Attendance identification will stop working for this Student until they enroll again." Cancel closes it and the enrollment stays. After "Remove Fingerprint" a message says "Fingerprint enrollment removed." The fingerprint icon leaves the row and the menu goes back to "Enroll fingerprint". A fingerprint scan at Check-in no longer finds this student.</t>
  </si>
  <si>
    <t>SBO-094</t>
  </si>
  <si>
    <t>My activity &gt; My orders</t>
  </si>
  <si>
    <t>The officer sees only their own orders in My orders and can cancel an unpaid one</t>
  </si>
  <si>
    <t>Run after SBO-075</t>
  </si>
  <si>
    <t>Signed in as an SBO Officer of PSITS-CCS (900004 Treasurer, 900005 Auditor, 900006 Public Information Officer or 900007 Business Manager). Use the password the demo owner gave you. The officer has placed at least one cash order from My activity &gt; Shop and it is still Pending with no payment proof.</t>
  </si>
  <si>
    <t xml:space="preserve">1. Open My activity &gt; My orders.
2. Find the order card "ORD-&lt;number&gt;" and read the status and the stage line.
3. Click "Cancel Order".
4. Read the window "Cancel this order?" and click "Cancel Order" to confirm.
5. Read the card again, then open Store &gt; Orders and find the same order.</t>
  </si>
  <si>
    <t>My orders lists only orders placed by this officer, not the orders of students. The stage line says what to do next. After the confirm the order shows Cancelled with a message such as "This order was cancelled and its stock was returned." Store &gt; Orders shows the same order as Cancelled. With no orders the page says "No orders yet." and "Browse the shop to place your first order." The Cancel button is not offered after a payment proof was sent.</t>
  </si>
  <si>
    <t>STU-001</t>
  </si>
  <si>
    <t>Sign in with School ID and password</t>
  </si>
  <si>
    <t>A fresh seeded copy is running. Use Student 2100142 (PSITS-CCS) and the demo password from the tester guide (docs/MEMBER_TESTING.md section 2). You are signed out.</t>
  </si>
  <si>
    <t xml:space="preserve">1. Open the HIUSA address you were given.
2. Check that the page says "Sign in to HIUSA".
3. Type 2100142 in the box "School ID / ID Number".
4. Type the password in the box "Password".
5. Tap or click "Sign in".</t>
  </si>
  <si>
    <t>You land on the student home (address ends in /dashboard/student). You see "Next for you", "Organization feed" and a side panel with "Coming up" and "Your account". The side menu shows student items only.</t>
  </si>
  <si>
    <t>STU-002</t>
  </si>
  <si>
    <t>School ID box accepts digits only and stops at 8 digits</t>
  </si>
  <si>
    <t xml:space="preserve">1. Click the "School ID / ID Number" box.
2. Type the letters abc and then the digits 123.
3. Check what is in the box.
4. Clear the box and type 123456789 (nine digits).
5. Check how many digits stay in the box.</t>
  </si>
  <si>
    <t>Letters never appear in the box. Only 123 stays after step 2. After step 4 only the first 8 digits (12345678) stay.</t>
  </si>
  <si>
    <t>STU-003</t>
  </si>
  <si>
    <t>An email address cannot be used to sign in</t>
  </si>
  <si>
    <t>Signed out. Student 2100142 has an email on the account, but sign-in only accepts the School ID.</t>
  </si>
  <si>
    <t xml:space="preserve">1. Click the "School ID / ID Number" box.
2. Type any email address, for example someone@example.com.
3. Type a password in the "Password" box.
4. Tap or click "Sign in".
5. Read the message under the boxes.</t>
  </si>
  <si>
    <t>You are not signed in. The letters and symbols of the email are not kept in the box, so a message asks for the School ID (the exact wording comes from the server, for example that the school id field is required). The page does not crash.</t>
  </si>
  <si>
    <t>VERIFY: exact wording of the message.</t>
  </si>
  <si>
    <t>STU-004</t>
  </si>
  <si>
    <t>Wrong password shows a clear message and no one is signed in</t>
  </si>
  <si>
    <t>Signed out. Use a spare student such as 2300163 (not 2100142, so other testers are not locked out).</t>
  </si>
  <si>
    <t xml:space="preserve">1. Type 2300163 in the School ID box.
2. Type a wrong password.
3. Tap or click "Sign in".
4. Read the red message.
5. Check the address bar.</t>
  </si>
  <si>
    <t>A red message appears: "The provided credentials are incorrect." You stay on the sign-in page. No student page opens.</t>
  </si>
  <si>
    <t>STU-005</t>
  </si>
  <si>
    <t>Lockout after 5 wrong passwords for 15 minutes</t>
  </si>
  <si>
    <t>Use a spare student that nobody else is using, for example 2400067. Warn the other testers. The lock lasts 15 minutes and also blocks the correct password. Do this near the end of your session.</t>
  </si>
  <si>
    <t xml:space="preserve">1. Type 2400067 in the School ID box.
2. Enter a wrong password and tap "Sign in". Repeat until you have failed 5 times.
3. On the next try, enter the correct password (the demo password).
4. Read the red message.
5. Wait 15 minutes without trying again.
6. Try the correct password once more.</t>
  </si>
  <si>
    <t>After 5 wrong tries the account is locked. The next attempt, even with the right password, is refused with a message such as "Too many failed sign in attempts for this account. Please wait before trying again." After 15 minutes the correct password signs in.</t>
  </si>
  <si>
    <t>VERIFY: if you type the wrong passwords very fast, a general "Too many requests. Please wait before trying again." can appear first. Write down which message you saw.</t>
  </si>
  <si>
    <t>STU-006</t>
  </si>
  <si>
    <t>Sign in has no role picker; a student always lands on the student home</t>
  </si>
  <si>
    <t>Signed out. Student 2100142.</t>
  </si>
  <si>
    <t xml:space="preserve">1. In the address bar, type the address of the site followed by /dashboard/admin and press Enter.
2. Check that you are sent to the sign-in page.
3. Look for any box or button that lets you choose a role. Note what you find.
4. Sign in as Student 2100142.
5. Check the address bar and the page.</t>
  </si>
  <si>
    <t>Step 2: you are sent to the sign-in page. Step 3: there is no role choice, only School ID and password. Step 5: you land on the student home (/dashboard/student), not on the admin page you tried first.</t>
  </si>
  <si>
    <t>STU-007</t>
  </si>
  <si>
    <t>Signed-out visitor is sent to sign-in for every student page</t>
  </si>
  <si>
    <t>Signed out (log out first if needed, or use a private window).</t>
  </si>
  <si>
    <t xml:space="preserve">1. Type the site address followed by /dashboard/student and press Enter.
2. Type the site address followed by /dashboard/merchandise/my-orders and press Enter.
3. Type the site address followed by /elections/1/vote and press Enter.
4. Type the site address followed by /some-page-that-does-not-exist and press Enter.</t>
  </si>
  <si>
    <t>Every address ends on the sign-in page. No student data is shown at any point.</t>
  </si>
  <si>
    <t>STU-008</t>
  </si>
  <si>
    <t>An unknown address sends a signed-in student home, not to an error page</t>
  </si>
  <si>
    <t>Signed in as Student 2100142.</t>
  </si>
  <si>
    <t xml:space="preserve">1. In the address bar, type the site address followed by /dashboard/not-a-real-page and press Enter.
2. Check where you land.
3. Type the site address followed by /dashboard and press Enter.
4. Check where you land.</t>
  </si>
  <si>
    <t>You end on the student home (/dashboard/student). No blank page, no 404 page and no error page appears.</t>
  </si>
  <si>
    <t>STU-009</t>
  </si>
  <si>
    <t>Forgot password page opens and asks for School ID and email</t>
  </si>
  <si>
    <t>Signed out. On the public test link, reset emails are not sent, so only check the screens.</t>
  </si>
  <si>
    <t xml:space="preserve">1. On the sign-in page, tap or click "Forgot password?".
2. Check that the page says "Reset your password".
3. Type 2100142 in "School ID / ID number".
4. Type the email shown on that account in "Email address".
5. Tap or click "Send reset link".
6. Read the next screen.
7. Tap or click "Back to login".</t>
  </si>
  <si>
    <t>A screen says "Check your email" and shows the email you typed, with a "Send another email" button. The same screen appears even for an email that does not match, so nobody can learn which emails exist. On the public link the email itself does not arrive (known limit). "Back to login" returns to sign-in.</t>
  </si>
  <si>
    <t>STU-010</t>
  </si>
  <si>
    <t xml:space="preserve">1. Open the account menu at the top right (your name).
2. Tap or click "Logout".
3. Read the window that opens.
4. Choose "Log Out".
5. Press the browser Back button.
6. Try to open the site address followed by /dashboard/student.</t>
  </si>
  <si>
    <t>The window says "Log Out" and "You will need to sign in again to access your dashboard." After confirming you are on the sign-in page. Back and the direct address do not show any student page.</t>
  </si>
  <si>
    <t>STU-011</t>
  </si>
  <si>
    <t>Changing the password on one device signs the other device out</t>
  </si>
  <si>
    <t>Student 2300163 (spare). You have a phone and a laptop, or two different browsers. Tell nobody else to use this account.</t>
  </si>
  <si>
    <t xml:space="preserve">1. Sign in as 2300163 on the phone.
2. Sign in as 2300163 on the laptop.
3. On the laptop, open Profile, then "Password &amp; security", and change the password (see the Profile cases for the exact steps).
4. Go back to the phone and tap any menu item, for example Events.</t>
  </si>
  <si>
    <t>The phone is sent back to the sign-in page. The laptop stays signed in and shows "Password updated. Your other devices were signed out." Write the new password down in your private notes and tell the demo owner.</t>
  </si>
  <si>
    <t>VERIFY: the phone may need one more tap before it notices.</t>
  </si>
  <si>
    <t>STU-012</t>
  </si>
  <si>
    <t>Sign-in page fits a phone screen</t>
  </si>
  <si>
    <t>A phone, or a laptop browser made about 390 pixels wide. Signed out.</t>
  </si>
  <si>
    <t xml:space="preserve">1. Open the sign-in page on the phone.
2. Check that you can see both boxes and the "Sign in" button without moving the page sideways.
3. Tap the School ID box and look at the keyboard that opens.
4. Tap the "Password" box and type a few characters.
5. Check the button used to show or hide the password, if there is one.</t>
  </si>
  <si>
    <t>There is no sideways scroll. The School ID box opens a number keyboard. The "Sign in" button is easy to tap with a thumb.</t>
  </si>
  <si>
    <t>VERIFY: whether a show/hide password button exists and is large enough to tap.</t>
  </si>
  <si>
    <t>STU-013</t>
  </si>
  <si>
    <t>Sign in &gt; Forced password change</t>
  </si>
  <si>
    <t>Imported student is asked to choose a new password at first sign-in</t>
  </si>
  <si>
    <t>Sequence: an Admin (900001) first imports a class list with a new student (Members, Programs and sections, Import class list) and downloads the temporary passwords file. Use the new student School ID and the temporary password from that file. Seeded demo students are NOT forced to change their password.</t>
  </si>
  <si>
    <t xml:space="preserve">1. Open the sign-in page.
2. Type the new student School ID.
3. Type the temporary password from the downloaded file.
4. Tap or click "Sign in".
5. Read the page that opens.</t>
  </si>
  <si>
    <t>You do not see the student home. The page says "Choose a new password" and "Your account was created with a default password. Set your own before you continue." It has three boxes: "Current password", "New password" (hint: Use at least 8 characters.) and "Confirm new password", and a "Save new password" button.</t>
  </si>
  <si>
    <t>STU-014</t>
  </si>
  <si>
    <t>Nothing else opens until the password is changed</t>
  </si>
  <si>
    <t>You are on the "Choose a new password" page after signing in as an imported student. Do not save a new password yet.</t>
  </si>
  <si>
    <t xml:space="preserve">1. In the address bar, type the site address followed by /dashboard/student and press Enter.
2. Check where you land.
3. Type the site address followed by /dashboard/merchandise/order-merchandise and press Enter.
4. Check where you land.
5. Press the browser Back button twice.
6. Check where you land.</t>
  </si>
  <si>
    <t>Every time you end on "Choose a new password". No student page, menu or data can be opened.</t>
  </si>
  <si>
    <t>STU-015</t>
  </si>
  <si>
    <t>Change password form checks each box</t>
  </si>
  <si>
    <t>You are on the "Choose a new password" page as an imported student.</t>
  </si>
  <si>
    <t xml:space="preserve">1. Leave all three boxes empty and tap "Save new password".
2. Read the messages under the boxes.
3. Type the temporary password in "Current password". Type abc in "New password" and in "Confirm new password".
4. Tap "Save new password" and read the message.
5. Type a new password of 8 or more characters in "New password" and a different one in "Confirm new password".
6. Tap "Save new password" and read the message.</t>
  </si>
  <si>
    <t>Step 2: "Enter your current password.", "Use at least 8 characters." and "The confirmation does not match." are shown (the page puts your cursor in the first box with a problem). Step 4: "Use at least 8 characters.". Step 6: "The confirmation does not match.". Nothing is saved.</t>
  </si>
  <si>
    <t>STU-016</t>
  </si>
  <si>
    <t>Wrong current password is refused</t>
  </si>
  <si>
    <t xml:space="preserve">1. Type a wrong password in "Current password".
2. Type a good new password (8 or more characters) in both other boxes.
3. Tap "Save new password".
4. Read the message.</t>
  </si>
  <si>
    <t>The password is not changed. A message appears under the "Current password" box (the server wording mentions the current password). You can try again.</t>
  </si>
  <si>
    <t>STU-017</t>
  </si>
  <si>
    <t>Saving a new password opens the student home and retires the temporary one</t>
  </si>
  <si>
    <t xml:space="preserve">1. Type the temporary password in "Current password".
2. Type a new password of 8 or more characters in "New password" and again in "Confirm new password".
3. Tap "Save new password".
4. Check the page that opens.
5. Log out, then try to sign in with the temporary password.
6. Sign in with the new password.</t>
  </si>
  <si>
    <t>Step 4: you land on the student home. Step 5: the temporary password is refused. Step 6: the new password signs in and goes straight to the student home with no change-password screen.</t>
  </si>
  <si>
    <t>STU-018</t>
  </si>
  <si>
    <t>Forced password change works on a phone</t>
  </si>
  <si>
    <t>Same imported student, new temporary password (or a second imported student). A phone.</t>
  </si>
  <si>
    <t xml:space="preserve">1. Sign in on the phone with the temporary password.
2. Check that all three boxes and the "Save new password" button are visible without sideways scroll.
3. Fill the three boxes and tap "Save new password".
4. Check the page that opens.</t>
  </si>
  <si>
    <t>The form fits the screen and the buttons are easy to tap. After saving you land on the student home.</t>
  </si>
  <si>
    <t>STU-019</t>
  </si>
  <si>
    <t>Dashboard &gt; Home</t>
  </si>
  <si>
    <t>Student home shows the feed, shortcuts and account lines</t>
  </si>
  <si>
    <t xml:space="preserve">1. Sign in and wait for the home page to finish loading.
2. Find the "Next for you" checklist.
3. Find the "Organization feed" heading with the line "Updates from your organization and the university."
4. Find the side panel with "Coming up" and "Your account".
5. Read the two links under "Your account".</t>
  </si>
  <si>
    <t>All four areas are there. "Your account" has "Statement of account" (with a line such as "You owe ..." or "Nothing owed") and "My clearance" (with a line such as "Clearance: Cleared", "Clearance: N signatures pending", "On hold: see My clearance" or "No clearance period").</t>
  </si>
  <si>
    <t>STU-020</t>
  </si>
  <si>
    <t>Next for you checklist ticks when you act</t>
  </si>
  <si>
    <t>Student 2100142 or another seeded student who has not registered for any event yet. Do the Events registration case first.</t>
  </si>
  <si>
    <t xml:space="preserve">1. Open the home page and find "Next for you".
2. Look for the step "Register for an upcoming event".
3. Register for an event (see the Events cases).
4. Open the home page again.</t>
  </si>
  <si>
    <t>Before registering, the step "Register for an upcoming event" is listed as not done. After registering, it is gone or marked done. Other steps ("Add your contact number", "Enroll your fingerprint") stay until done. The fingerprint step has no link because it is done in person with the officers.</t>
  </si>
  <si>
    <t>STU-021</t>
  </si>
  <si>
    <t>Active election card on the home page leads to the ballot</t>
  </si>
  <si>
    <t>Sequence: an election is open for voting (Admin created it, Department Head approved it, Admin finalized it, and its time window has started). Student has not voted yet.</t>
  </si>
  <si>
    <t xml:space="preserve">1. Open the student home.
2. Find the card "Active election" in the side panel.
3. Tap or click "Enter secure voting".
4. Check the page that opens.</t>
  </si>
  <si>
    <t>The card shows the election title and the line "Review the candidates and cast your ballot before voting closes." The button opens the Secure Voting ballot page for that election with a "Start my ballot" button.</t>
  </si>
  <si>
    <t>STU-022</t>
  </si>
  <si>
    <t>Account shortcuts open Statement of account and My clearance</t>
  </si>
  <si>
    <t xml:space="preserve">1. On the student home, tap or click "Statement of account" under "Your account".
2. Check the page title and then press Back.
3. Tap or click "My clearance" under "Your account".
4. Check the page title.</t>
  </si>
  <si>
    <t>The first link opens the Statement of account page. The second opens the My clearance page. Each row is at least about 56 pixels tall so it is easy to tap.</t>
  </si>
  <si>
    <t>STU-023</t>
  </si>
  <si>
    <t>Home on a phone has no sideways scroll and shortcuts come first</t>
  </si>
  <si>
    <t>A phone (or browser about 390 pixels wide). Student 2100142.</t>
  </si>
  <si>
    <t xml:space="preserve">1. Sign in on the phone.
2. Look at the top of the home page below the top bar.
3. Scroll down slowly to the end of the first screen of the feed.
4. Try to drag the page left and right.</t>
  </si>
  <si>
    <t>The side panel ("Active election", "Coming up", "Your account") appears above the feed on a phone. The page never moves sideways. Pictures in the feed stay inside the screen.</t>
  </si>
  <si>
    <t>STU-024</t>
  </si>
  <si>
    <t>Laptop menu lists only student items</t>
  </si>
  <si>
    <t>Laptop browser, wide window. Signed in as Student 2100142.</t>
  </si>
  <si>
    <t xml:space="preserve">1. Look at the left side menu.
2. Click each group that has an arrow to open it: My payments, Voting, Store, Support.
3. Write down every label you see, including the two links at the bottom.</t>
  </si>
  <si>
    <t>You see: Dashboard; My payments (Statement of account, Receipts); Events; Voting (Vote, Results); Store (Shop, My orders); Announcements (under Updates); Support (My clearance, My grievances); and at the bottom Profile and Study objectives. You do NOT see People, Finance, Ledger, Inventory, Orders, Claim desk, Check-in, Tasks, Approvals, Candidates, Voters, Compliance, Grievances, Clearance signing or Audit log.</t>
  </si>
  <si>
    <t>VERIFY: whether Events and Announcements show as a single link or as a group with one child.</t>
  </si>
  <si>
    <t>STU-025</t>
  </si>
  <si>
    <t>Phone menu drawer opens, scrolls and closes</t>
  </si>
  <si>
    <t>A phone (or browser about 390 pixels wide). Signed in as Student 2100142.</t>
  </si>
  <si>
    <t xml:space="preserve">1. Tap the menu button (three lines) at the top left. Its name is "Open menu".
2. Check that a menu panel slides in over the page.
3. Tap a group such as "Store" and then "Shop".
4. Check that the Shop page opens and the menu closes.
5. Open the menu again and tap "Close menu" (the X).</t>
  </si>
  <si>
    <t>The panel opens, the group opens to show its pages, tapping a page goes there and closes the panel, and the X closes it without going anywhere. The page behind does not scroll sideways.</t>
  </si>
  <si>
    <t>STU-026</t>
  </si>
  <si>
    <t>Phone menu items are easy to tap</t>
  </si>
  <si>
    <t>A phone. Signed in as Student 2100142.</t>
  </si>
  <si>
    <t xml:space="preserve">1. Open the menu with "Open menu".
2. Try to tap each group and each page name with your thumb.
3. Note any item you tapped wrongly or had to tap twice.
4. Check that the "Logout" button at the bottom of the menu is reachable.</t>
  </si>
  <si>
    <t>Every menu row can be tapped the first time with a thumb (rows should be about 44 pixels tall or more). Logout is reachable by scrolling inside the menu. Report any row that is too small.</t>
  </si>
  <si>
    <t>VERIFY: the top-left menu button itself is about 40 pixels, slightly under 44.</t>
  </si>
  <si>
    <t>STU-027</t>
  </si>
  <si>
    <t>Go to page search finds only student pages</t>
  </si>
  <si>
    <t xml:space="preserve">1. Click "Go to page" in the top bar (or press Ctrl and K).
2. Type shop and look at the results.
3. Clear the box, type inventory and look at the results.
4. Clear the box, type audit and look at the results.
5. Choose a result such as "Shop" and press Enter.</t>
  </si>
  <si>
    <t>"Shop" is found and opens the Shop page. "Inventory" and "Audit" find nothing, because a student has no such pages. The search never lists a page the student cannot open.</t>
  </si>
  <si>
    <t>STU-028</t>
  </si>
  <si>
    <t>Events &gt; Events</t>
  </si>
  <si>
    <t>Events list shows only approved, ongoing or completed events</t>
  </si>
  <si>
    <t>Before the SAO opens a semester (see section 3 of the tester guide), the seeded events are visible. Student 2100142.</t>
  </si>
  <si>
    <t xml:space="preserve">1. Open Events from the menu.
2. Look at the list. The default view is the list.
3. Open the "Status" filter and note which statuses are offered.
4. Look through the list for any event marked Planning or Cancelled.</t>
  </si>
  <si>
    <t>You see events such as "Sports Fest 2024". Events that are still being planned or are waiting for approval do not appear in the list for a student.</t>
  </si>
  <si>
    <t>VERIFY: the Status filter may still list Planning and Cancelled as choices, but choosing them should show nothing.</t>
  </si>
  <si>
    <t>STU-029</t>
  </si>
  <si>
    <t>Join an event and see "You are registered"</t>
  </si>
  <si>
    <t>Before the SAO opens a semester. A student who has not registered yet (try 2400093, 2400067, 2300247, 2400019 or 2300312). An approved event that has not started.</t>
  </si>
  <si>
    <t xml:space="preserve">1. Open Events from the menu.
2. Click an event, for example "Sports Fest 2024".
3. In the window that opens, find the section "Event registration".
4. Tap or click "Register for this event".
5. Read the message and the steps.</t>
  </si>
  <si>
    <t>A short message "You are registered" appears. The window shows "You are registered" with a Registered badge, the line "You registered on &lt;date&gt;. Organizers will expect you at check-in.", a "Cancel registration" button and three steps: Register (done), Check in at the event (current), Attendance on record (not yet). Total clicks from the home page: about 3.</t>
  </si>
  <si>
    <t>STU-030</t>
  </si>
  <si>
    <t>Cancel a registration and register again</t>
  </si>
  <si>
    <t>The student is registered for an upcoming event (previous case).</t>
  </si>
  <si>
    <t xml:space="preserve">1. Open Events and click the event you registered for.
2. Tap or click "Cancel registration".
3. Read the message and the status.
4. Tap or click "Register for this event" again.
5. Read the message and the status.</t>
  </si>
  <si>
    <t>Cancelling shows "Registration cancelled" and the status Cancelled with the line "You cancelled earlier. You can register again while spots remain." Registering again works and shows "You are registered". You can never register twice at the same time: while registered, only "Cancel registration" is offered.</t>
  </si>
  <si>
    <t>STU-031</t>
  </si>
  <si>
    <t>Registration is closed once the event has started</t>
  </si>
  <si>
    <t>An approved event whose start time has already passed (ongoing or completed). Student 2100142 has not registered for it.</t>
  </si>
  <si>
    <t xml:space="preserve">1. Open Events and click the event that has already started.
2. Look at the section "Event registration".
3. Look for a "Register for this event" button.</t>
  </si>
  <si>
    <t>There is no Register button. The text says "Registration closed when this event started." The first step Register shows as blocked or closed.</t>
  </si>
  <si>
    <t>STU-032</t>
  </si>
  <si>
    <t>Full event refuses new registrations</t>
  </si>
  <si>
    <t>Sequence: an Admin sets a very small expected participants number (for example 1) on an approved upcoming event, and one student registers. Then use a second student.</t>
  </si>
  <si>
    <t xml:space="preserve">1. Student A registers for the small event.
2. Sign in as Student B on another browser.
3. Open Events and click the same event.
4. Tap or click "Register for this event".
5. Read the message.</t>
  </si>
  <si>
    <t>Student B is refused with a message: "This event has reached its registration capacity. Please check back in case a spot opens up." Student B is not registered. If Student A cancels, Student B can register.</t>
  </si>
  <si>
    <t>STU-033</t>
  </si>
  <si>
    <t>Draft or planning events are hidden from students</t>
  </si>
  <si>
    <t>Sequence: an Admin (900001) creates a new event but does not get it approved, so it stays in planning. Student 2100142.</t>
  </si>
  <si>
    <t xml:space="preserve">1. As the Admin, create an event with a clear name such as "QA hidden draft" and leave it unapproved.
2. As Student 2100142, open Events (list view).
3. Search for "QA hidden draft" in the "Search events" box.
4. Switch to the calendar view and look for the same date.
5. Check "Coming up" on the student home.</t>
  </si>
  <si>
    <t>The draft event appears nowhere: not in the list, not in the calendar and not in "Coming up". It appears for the student only after the Department Head approves it.</t>
  </si>
  <si>
    <t>STU-034</t>
  </si>
  <si>
    <t>List filters: search, date, status and sort</t>
  </si>
  <si>
    <t>Student 2100142 with at least two events visible.</t>
  </si>
  <si>
    <t xml:space="preserve">1. Open Events in list view.
2. Type part of an event title in "Search events".
3. Clear the search and pick a date in "Event date".
4. Clear the date and open "Sort by". Try Soonest, Latest date, Newest created and Title.
5. Use the clear option to remove all filters.</t>
  </si>
  <si>
    <t>The list narrows and reorders for each choice and the count of events updates. Clearing filters brings the full list back.</t>
  </si>
  <si>
    <t>STU-035</t>
  </si>
  <si>
    <t>Events on a phone: list, calendar agenda and details window</t>
  </si>
  <si>
    <t xml:space="preserve">1. Open the menu, then tap "Events".
2. Scroll the list and tap an event.
3. In the details window, scroll to "Register for this event" and tap it.
4. Close the window.
5. Tap "Calendar view" and check how the events are shown.</t>
  </si>
  <si>
    <t>The list and the details window fit the screen with no sideways scroll. The Register button is easy to tap. The calendar shows an agenda (a list by day) on a narrow screen instead of a tiny grid. The List and Calendar switch keeps its icons even though the words are hidden.</t>
  </si>
  <si>
    <t>STU-036</t>
  </si>
  <si>
    <t>Student cannot check themselves in; officer check-in turns the status to Attended</t>
  </si>
  <si>
    <t>Sequence: Student 2100142 is registered for an event that is ongoing. Officer 900004 (or Admin 900001) is on another device on Events and tasks, Check-in.</t>
  </si>
  <si>
    <t xml:space="preserve">1. As the student, open the event and read the "Event registration" section.
2. Look for any button that lets you check in yourself.
3. As the officer, check this student in on the Check-in page.
4. As the student, close and reopen the event.
5. Read the status and the three steps.</t>
  </si>
  <si>
    <t>The student has no self check-in button. After the officer checks the student in, the status is Attended with the message "Your attendance at this event is on record." and all three steps are done. If the event ends without a check-in the status becomes No-show ("You registered but no check-in was recorded for this event.").</t>
  </si>
  <si>
    <t>STU-037</t>
  </si>
  <si>
    <t>Opening staff event pages sends the student home</t>
  </si>
  <si>
    <t xml:space="preserve">1. Type the site address followed by /dashboard/events/manage-events and press Enter.
2. Check the page.
3. Type the site address followed by /dashboard/events/check-in and press Enter.
4. Check the page.
5. Type the site address followed by /dashboard/events/event-planner and press Enter.
6. Check the page.</t>
  </si>
  <si>
    <t>Each time you end on the student home (/dashboard/student). No error page (403) and no Create event or Check-in screen appears.</t>
  </si>
  <si>
    <t>STU-038</t>
  </si>
  <si>
    <t>After the SAO opens a semester the seeded events leave the list</t>
  </si>
  <si>
    <t>Sequence: the SAO (990001) activates a semester (tester guide section 3). Student 2100142 had 3 events before this.</t>
  </si>
  <si>
    <t xml:space="preserve">1. Before the SAO acts, note the events in Events and in "Coming up".
2. The SAO adds a semester and chooses "Set as active".
3. Reload Events as the student.
4. Reload the student home.</t>
  </si>
  <si>
    <t>The seeded events, which belong to no semester, no longer show for the student. The list shows an empty-list message and "Coming up" says "No upcoming events yet." This is expected, not a bug. New events the Admin creates inside the semester appear after approval.</t>
  </si>
  <si>
    <t>STU-039</t>
  </si>
  <si>
    <t>Voting &gt; Vote</t>
  </si>
  <si>
    <t>Vote page with no open election</t>
  </si>
  <si>
    <t>No election is open for voting (fresh seed: the seeded election is not finalized, so a student cannot vote in it). Student 2100142.</t>
  </si>
  <si>
    <t xml:space="preserve">1. Open the menu and tap "Voting".
2. Tap "Vote".
3. Read the page.</t>
  </si>
  <si>
    <t>You see "No election is open for voting" and "Elections appear here when the Admin opens one. Check back during the election period." There is no Vote button.</t>
  </si>
  <si>
    <t>VERIFY: if the seeded election card appears, it should read Upcoming and show "The ballot is still being built. Voting opens after the Admin finalizes it."</t>
  </si>
  <si>
    <t>STU-040</t>
  </si>
  <si>
    <t>Open election appears as a card with a Vote button</t>
  </si>
  <si>
    <t>Sequence: Admin 900001 creates an election, Department Head 940001 approves it, Admin adds a party list and a candidate for each position, then finalizes the ballot, and the start time has passed. Student 2100142 has not voted. VERIFY: whether a student can vote in an election made this way (the tester guide says it was not tried).</t>
  </si>
  <si>
    <t xml:space="preserve">1. Open Voting, then Vote.
2. Read the election card.
3. Look at the badge, the dates, the time range and the room line.
4. Find the button on the card.</t>
  </si>
  <si>
    <t>One card shows the election title, an "Open" badge, the date, the time range with minutes, and "Online ballot" (or the room). The button reads "Vote in this election". A line "Results:" shows whether results can be seen.</t>
  </si>
  <si>
    <t>STU-041</t>
  </si>
  <si>
    <t>Cast a full ballot and get a receipt</t>
  </si>
  <si>
    <t>An election is open and the student has not voted. Student 2100142.</t>
  </si>
  <si>
    <t xml:space="preserve">1. Open Voting, Vote and tap "Vote in this election".
2. Read the overview page "Official ballot" and tap "Start my ballot".
3. On each position, tap one candidate card, then tap "Next position".
4. On the last position tap "Review ballot".
5. Check the list on "Review your ballot", then tap "Submit final ballot".
6. In the window "Submit your final ballot?" tap "Confirm and submit".</t>
  </si>
  <si>
    <t>The page "Ballot submitted" appears with "Your choices were securely recorded and cannot be changed." and a "Ballot receipt hash". "Your selections" lists your choices. Total clicks from the home page: 6. Tapping "Back to Vote" returns to the Vote page where the card shows Voted.</t>
  </si>
  <si>
    <t>STU-042</t>
  </si>
  <si>
    <t>A choice is required for every position</t>
  </si>
  <si>
    <t>An election is open and the student has not voted.</t>
  </si>
  <si>
    <t xml:space="preserve">1. Start the ballot with "Start my ballot".
2. On the first position, tap "Next position" without choosing a candidate.
3. Read the message.
4. Choose a candidate and move on. Skip choosing on the next position and use the position list to jump to the review step if possible.
5. On the review page, read the warning.</t>
  </si>
  <si>
    <t>Step 3: "Select a candidate before continuing." appears and you cannot move on. On the review page a position with no choice shows "Not selected" and the warning "Complete all positions before final submission." The "Submit final ballot" button stays disabled until every position has a choice.</t>
  </si>
  <si>
    <t>STU-043</t>
  </si>
  <si>
    <t>Leaving the ballot asks first and records nothing</t>
  </si>
  <si>
    <t xml:space="preserve">1. Start the ballot and choose a candidate for the first position.
2. Tap "Exit ballot" at the top right.
3. Read the window "Leave secure voting?".
4. Tap "Continue voting" and check your choice is still there.
5. Tap "Exit ballot" again and tap "Leave voting".
6. Check the Vote page.</t>
  </si>
  <si>
    <t>The window says only a submitted ballot is recorded and that unsubmitted choices cannot be recovered. "Continue voting" keeps you in. "Leave voting" goes back to the Vote page, which still shows Open and you can start again.</t>
  </si>
  <si>
    <t>STU-044</t>
  </si>
  <si>
    <t>Second vote is refused with a friendly message</t>
  </si>
  <si>
    <t>The student has already voted in the open election (previous case).</t>
  </si>
  <si>
    <t xml:space="preserve">1. Open Voting, then Vote.
2. Check the badge on the election card.
3. Open the ballot address again: type the site address followed by /elections/ and the election number and /vote. The number is in the address bar when you first opened the ballot.
4. Read the page that opens.</t>
  </si>
  <si>
    <t>The card shows Voted and "Your ballot receipt" with the same code. The ballot address shows "Vote already recorded" and "Each voter can submit one ballot for this election." with the receipt and a "Back to elections" button. It is never an error page and no second ballot is created.</t>
  </si>
  <si>
    <t>STU-045</t>
  </si>
  <si>
    <t>Voting twice from two tabs at the same time</t>
  </si>
  <si>
    <t>An election is open. Student 2100217 has not voted. Two browser tabs signed in as the same student.</t>
  </si>
  <si>
    <t xml:space="preserve">1. In tab 1 and tab 2 open the ballot for the same election and choose the same candidates.
2. In tab 1 submit the final ballot and note the receipt.
3. In tab 2 submit the final ballot.
4. Read the result in tab 2.
5. Open Voting, Vote and count the receipts.</t>
  </si>
  <si>
    <t>Tab 1 shows the receipt. Tab 2 shows "Vote already recorded" (no error page, no crash). The student has exactly one ballot receipt.</t>
  </si>
  <si>
    <t>STU-046</t>
  </si>
  <si>
    <t>Voting after the election closed</t>
  </si>
  <si>
    <t>Sequence: an election that has ended (Admin closed it or the end time passed). Student has not voted.</t>
  </si>
  <si>
    <t xml:space="preserve">1. Open Voting, Vote and read the election card.
2. Look for a Vote button.
3. If you have the ballot address from earlier, open it again: the site address followed by /elections/ and the number and /vote.
4. Read the page.</t>
  </si>
  <si>
    <t>The card shows Closed and the text "Voting has ended for this election." with no vote button. The old ballot address does not let you vote. It shows "No election is currently open." with "This election is not currently accepting ballots." or, if results are not released, "Unable to open this ballot" with a message that students can only open active elections or visible results.</t>
  </si>
  <si>
    <t>VERIFY: which of these two pages appears.</t>
  </si>
  <si>
    <t>STU-047</t>
  </si>
  <si>
    <t>Election that has not opened yet cannot be voted in</t>
  </si>
  <si>
    <t>An election that is approved but its start time is in the future, or whose ballot is not finalized.</t>
  </si>
  <si>
    <t xml:space="preserve">1. Open Voting, Vote.
2. Read the text on the election card.
3. Look for a Vote button.</t>
  </si>
  <si>
    <t>The card shows Upcoming. With a finalized ballot it says "Voting opens &lt;date and time&gt;. Come back then to cast your ballot." Without a finalized ballot it says "The ballot is still being built. Voting opens after the Admin finalizes it." There is no vote button.</t>
  </si>
  <si>
    <t>STU-048</t>
  </si>
  <si>
    <t>Live totals while voting is open and results are released</t>
  </si>
  <si>
    <t>An election is open and results are released (the default). The student has voted.</t>
  </si>
  <si>
    <t xml:space="preserve">1. Open Voting, Vote and find the line "Results:" on the election card.
2. Tap "View live totals".
3. Read the top of the Results page.
4. Look for any list of who voted for whom.</t>
  </si>
  <si>
    <t>The Results page shows "Live vote totals" and "Voting in progress" with counts for ballots, selections, positions and candidates, plus candidate totals. Winners are not declared yet. No student names of voters are shown.</t>
  </si>
  <si>
    <t>STU-049</t>
  </si>
  <si>
    <t>Results hidden until released</t>
  </si>
  <si>
    <t>Sequence: an election is closed but the Admin has not released the results (or an open election with live totals switched off). VERIFY: the exact setting name on the Admin side.</t>
  </si>
  <si>
    <t xml:space="preserve">1. Open Voting, Vote and read the "Results:" line on the card.
2. Open Voting, Results from the menu.
3. Read the page.</t>
  </si>
  <si>
    <t>The card says "Available when the Admin releases the results" (closed election) or "Available when voting closes" (open election). The Results page says "Election results are not available yet." with the line "Vote totals appear once the finalized ballot opens. Winners are declared after closing."</t>
  </si>
  <si>
    <t>STU-050</t>
  </si>
  <si>
    <t>Voting on a phone: ballot is easy to complete with a thumb</t>
  </si>
  <si>
    <t>A phone (or browser about 390 pixels wide). An election is open. Student 2100217 has not voted.</t>
  </si>
  <si>
    <t xml:space="preserve">1. On the phone open Voting, Vote and tap "Vote in this election".
2. Tap "Start my ballot".
3. Tap a candidate card, then "Next position". Check how the position list at the top behaves.
4. Open "Review your ballot" and check the two buttons at the bottom.
5. Submit the ballot and read the receipt.</t>
  </si>
  <si>
    <t>Candidate cards and buttons are large and easy to tap. The buttons stack one under the other. Only the strip of position tabs scrolls sideways; the page itself does not. The receipt code wraps and stays fully readable.</t>
  </si>
  <si>
    <t>STU-051</t>
  </si>
  <si>
    <t>Student cannot open staff voting pages</t>
  </si>
  <si>
    <t xml:space="preserve">1. Type the site address followed by /dashboard/elections/manage-elections and press Enter.
2. Check the page.
3. Type the site address followed by /dashboard/elections/manage-voters and press Enter.
4. Check the page.
5. Type the site address followed by /dashboard/elections/manage-candidates and press Enter.
6. Check the page.
7. Type the site address followed by /dashboard/elections/manage-partylists and press Enter.</t>
  </si>
  <si>
    <t>Each address ends on the student home. A student never sees the voters list, candidate management or party list management.</t>
  </si>
  <si>
    <t>STU-052</t>
  </si>
  <si>
    <t>Store &gt; Shop</t>
  </si>
  <si>
    <t>Browse the shop: search, category and sort</t>
  </si>
  <si>
    <t>Signed in as Student 2100142. The shop has several items (for example "HIUSA Tote Bag").</t>
  </si>
  <si>
    <t xml:space="preserve">1. Open Store, then Shop.
2. Type part of an item name in the box "Search product, category, or description".
3. Clear it and open "Filter merchandise category". Pick a category.
4. Open "Sort merchandise" and try "Available first", "Most stock", "Price: low to high" and "Price: high to low".
5. Read the line about total units available.</t>
  </si>
  <si>
    <t>The list narrows and reorders for each choice. The line shows the total units available across the products. If a search finds nothing a "no results" message with a way to clear filters appears.</t>
  </si>
  <si>
    <t>STU-053</t>
  </si>
  <si>
    <t>Add to cart and see the cart in the top bar</t>
  </si>
  <si>
    <t xml:space="preserve">1. Open Store, Shop.
2. On the "HIUSA Tote Bag" card choose a quantity and tap "Add to Cart".
3. Look at the cart icon in the top bar.
4. Tap the cart icon.
5. Tap "Open Cart".</t>
  </si>
  <si>
    <t>A message such as "1 x HIUSA Tote Bag added to cart." appears. The cart icon shows a number badge. The panel "Your Cart" lists the item, quantity and price with the total. "Open Cart" opens the cart on the Shop page. An empty cart shows "Cart is empty".</t>
  </si>
  <si>
    <t>STU-054</t>
  </si>
  <si>
    <t>Quantity above the stock is refused</t>
  </si>
  <si>
    <t>Signed in as a student. An item with a small stock, for example 3 units.</t>
  </si>
  <si>
    <t xml:space="preserve">1. Open Store, Shop and find the item.
2. Type a quantity higher than the stock, for example 50.
3. Tap "Add to Cart".
4. Read the message.
5. Type 0 and tap "Add to Cart".
6. Read the message.</t>
  </si>
  <si>
    <t>Step 4: "Only N unit(s) available for &lt;item&gt;." and the cart does not change. Step 6: "Please enter a valid quantity greater than 0." Nothing is added in either case.</t>
  </si>
  <si>
    <t>STU-055</t>
  </si>
  <si>
    <t>Place a cash reservation</t>
  </si>
  <si>
    <t>Signed in as Student 2300312 (or 2400019). An item in stock.</t>
  </si>
  <si>
    <t xml:space="preserve">1. Open Store, Shop.
2. Tap "Add to Cart" on "HIUSA Tote Bag".
3. Tap "My Cart".
4. Tap "Review &amp; Continue".
5. Check that Payment Method says "Cash on pickup".
6. Tap "Place Reservation".</t>
  </si>
  <si>
    <t>A message "ORD-&lt;number&gt; reserved." appears and you land on My orders. The order shows "Step 1 of 4: Reserved" and the text "Pay cash at pickup, or submit GCash proof". Total clicks to place the order: 5 or 6.</t>
  </si>
  <si>
    <t>STU-056</t>
  </si>
  <si>
    <t>Not enough stock at checkout: order is refused</t>
  </si>
  <si>
    <t>Sequence: an item with stock 1 (ask the Admin to set it). Student A and Student B are signed in on two devices.</t>
  </si>
  <si>
    <t xml:space="preserve">1. Student A adds the 1 unit to the cart but does not check out yet.
2. Student B adds the same 1 unit and places the reservation. It should succeed.
3. Student A taps "My Cart", "Review &amp; Continue" and "Place Reservation".
4. Read the message.
5. Open Store, My orders as Student A.</t>
  </si>
  <si>
    <t>Student A is refused with "Insufficient stock. Only N unit(s) available." (N may be 0) or a message that the item is no longer available. No order is created for Student A. The page does not crash.</t>
  </si>
  <si>
    <t>STU-057</t>
  </si>
  <si>
    <t>GCash checkout needs a 13-digit reference and a proof picture</t>
  </si>
  <si>
    <t>The Admin has uploaded the official GCash QR code (otherwise GCash is not offered). Signed in as a student with one item in the cart.</t>
  </si>
  <si>
    <t xml:space="preserve">1. Tap "My Cart" and "Review &amp; Continue".
2. Set Payment Method to "GCash (single order only)".
3. Read the QR text, then type only 5 digits in "GCash Reference".
4. Tap "Place Reservation" without a picture.
5. Read the message.
6. Type 13 digits and choose a JPG or PNG picture in "Payment Proof", then place the reservation.</t>
  </si>
  <si>
    <t>With a short reference or no picture: "GCash checkout requires a 13-digit reference number and an uploaded payment proof." With both, the order is placed and My orders says "Payment proof submitted and awaiting officer verification." With more than one cart item, the GCash choice is disabled and the page explains to checkout one product at a time.</t>
  </si>
  <si>
    <t>STU-058</t>
  </si>
  <si>
    <t>Store &gt; My orders</t>
  </si>
  <si>
    <t>My orders lists orders with status and next step</t>
  </si>
  <si>
    <t>The student has at least one order (previous cases).</t>
  </si>
  <si>
    <t xml:space="preserve">1. Open Store, then My orders.
2. Find the order card "ORD-&lt;number&gt;".
3. Read the status badge, the quantity, the total and the date.
4. Read the stage line, for example "Step 1 of 4: Reserved".
5. Tap "View details".</t>
  </si>
  <si>
    <t>The card shows Pending, Paid, CLAIMED or Cancelled. The stage line tells what to do next. "View details" opens the order details. With no orders you see "No orders yet." and "Browse the shop to place your first order." with a "Browse the shop" button.</t>
  </si>
  <si>
    <t>STU-059</t>
  </si>
  <si>
    <t>Cancel an unpaid order</t>
  </si>
  <si>
    <t>A pending order with no payment proof, placed by this student.</t>
  </si>
  <si>
    <t xml:space="preserve">1. Open Store, My orders.
2. Find the pending order.
3. Tap "Cancel Order".
4. Read the window "Cancel this order?" and confirm with "Cancel Order".
5. Read the order card again.</t>
  </si>
  <si>
    <t>The order shows Cancelled with a message such as "This order was cancelled and its stock was returned." The Cancel button is not offered when payment proof was already sent.</t>
  </si>
  <si>
    <t>STU-060</t>
  </si>
  <si>
    <t>Send GCash proof later from My orders</t>
  </si>
  <si>
    <t>The Admin uploaded a GCash QR code. A pending cash reservation by this student.</t>
  </si>
  <si>
    <t xml:space="preserve">1. Open Store, My orders.
2. On the pending order tap "Submit GCash Proof".
3. Without filling anything tap the submit button of the window "Submit GCash Payment".
4. Read the message.
5. Type a 13-digit reference, choose a picture and submit.</t>
  </si>
  <si>
    <t>Step 4: "Enter the 13-digit GCash reference and attach the payment proof." After a good submission the order says "Payment proof submitted and awaiting officer verification." and the button changes to "Replace Proof". A message says the proof was submitted for verification.</t>
  </si>
  <si>
    <t>STU-061</t>
  </si>
  <si>
    <t>Claim token appears only after payment is verified and approved</t>
  </si>
  <si>
    <t>Sequence: Student 2300312 has a pending order. Officer 900004 verifies the payment (Store, Orders). Then Admin 900001 approves it.</t>
  </si>
  <si>
    <t xml:space="preserve">1. As the student open Store, My orders and note the order stage.
2. The officer verifies the payment.
3. Reload My orders as the student.
4. Look for a claim code on the order.
5. The Admin approves the payment.
6. Reload My orders and look at the order again.</t>
  </si>
  <si>
    <t>After the officer step the order says "Payment verified: waiting for Admin approval" and shows NO claim code. After the Admin approves, the order is Paid, shows a 16-character claim token and the text "Payment confirmed! Show your token again to collect your item."</t>
  </si>
  <si>
    <t>STU-062</t>
  </si>
  <si>
    <t>Order shows Claimed after the officer releases it</t>
  </si>
  <si>
    <t>Sequence: the order is Paid with a token. Officer 900004 opens Store, Claim desk and validates the token.</t>
  </si>
  <si>
    <t xml:space="preserve">1. As the student, write down the token on the order.
2. The officer enters the token in the Claim desk and confirms the release.
3. Reload My orders as the student.
4. Read the order card.
5. The officer tries the same token again.</t>
  </si>
  <si>
    <t>The order shows CLAIMED and "Item successfully claimed on &lt;date&gt;." The officer's second try is refused with "This token has already been used."</t>
  </si>
  <si>
    <t>STU-063</t>
  </si>
  <si>
    <t>Student cannot open the Claim desk, Inventory or Orders pages</t>
  </si>
  <si>
    <t xml:space="preserve">1. Type the site address followed by /dashboard/merchandise/claim-tokens and press Enter.
2. Check the page.
3. Type the site address followed by /dashboard/merchandise/manage-orders and press Enter.
4. Check the page.
5. Type the site address followed by /dashboard/merchandise/manage-inventory and press Enter.
6. Check the page.</t>
  </si>
  <si>
    <t>The Claim desk address sends the student to My orders (/dashboard/merchandise/my-orders). The other two addresses send the student to the student home. No staff screen and no 403 page appears.</t>
  </si>
  <si>
    <t>STU-064</t>
  </si>
  <si>
    <t>Shop and checkout on a phone</t>
  </si>
  <si>
    <t>A phone (or browser about 390 pixels wide). Student 2300312. An item in stock.</t>
  </si>
  <si>
    <t xml:space="preserve">1. Open the menu, tap "Store", then "Shop".
2. Scroll the product cards and tap "Add to Cart" on one.
3. Tap the cart icon in the top bar and check the panel width.
4. Open the cart and tap "Review &amp; Continue".
5. Scroll the checkout window to the bottom and find "Place Reservation".</t>
  </si>
  <si>
    <t>Product cards stack in one column. The cart panel fits the screen with a margin on both sides. The checkout window scrolls and its buttons are large enough to tap. The page does not move sideways.</t>
  </si>
  <si>
    <t>STU-065</t>
  </si>
  <si>
    <t>Order cards and claim token are readable on a phone</t>
  </si>
  <si>
    <t>A phone. A student with a Paid order that has a token.</t>
  </si>
  <si>
    <t xml:space="preserve">1. Open Store, My orders on the phone.
2. Find the Paid order.
3. Read the claim token and the stage line.
4. Try to drag the page sideways.</t>
  </si>
  <si>
    <t>The token (16 letters and numbers) is fully visible and not cut off. The card text wraps. The page does not scroll sideways.</t>
  </si>
  <si>
    <t>STU-066</t>
  </si>
  <si>
    <t>My payments &gt; Statement of account</t>
  </si>
  <si>
    <t>See what I owe: balance and clearance without scrolling</t>
  </si>
  <si>
    <t>Sequence: Student 2200055 owes money (the Admin has issued an invoice, for example "Organization fee" of 500.00 from Finance, Student accounts). Laptop browser.</t>
  </si>
  <si>
    <t xml:space="preserve">1. Sign in as Student 2200055.
2. Open My payments, then Statement of account.
3. Without scrolling, find "Outstanding balance".
4. Without scrolling, find "Clearance" and its badge.
5. Read the invoice table below.</t>
  </si>
  <si>
    <t>Within 2 clicks from the home page, "Outstanding balance" shows the amount (for example 500.00) with a line such as "1 unpaid invoice", and "Clearance" shows "On hold" with a reason like "You owe ...". The table shows Description, Reference, Due date, Status, Amount due, Paid and Balance.</t>
  </si>
  <si>
    <t>STU-067</t>
  </si>
  <si>
    <t>Statement of account on a phone shows balance and clearance first</t>
  </si>
  <si>
    <t>A phone (or browser about 390 pixels wide). Student 2200298 owes money (issue an invoice first if needed).</t>
  </si>
  <si>
    <t xml:space="preserve">1. Sign in as Student 2200298 on the phone.
2. Open the menu, tap "My payments", then "Statement of account".
3. Without scrolling, find the balance amount.
4. Without scrolling, find the clearance status.
5. Swipe the invoice table sideways if it is wider than the screen.</t>
  </si>
  <si>
    <t>The balance and the clearance status are visible on the first screen without scrolling. Only the invoice table may swipe sideways inside its own box. The whole page does not move sideways.</t>
  </si>
  <si>
    <t>STU-068</t>
  </si>
  <si>
    <t>Student who owes nothing is shown as cleared</t>
  </si>
  <si>
    <t>A student with no invoices and no reserved orders, for example 2300163. No clearance signature on hold.</t>
  </si>
  <si>
    <t xml:space="preserve">1. Sign in as the student.
2. Open My payments, Statement of account.
3. Read "Outstanding balance" and "Clearance".
4. Read the table.</t>
  </si>
  <si>
    <t>"Outstanding balance" shows 0.00 with "Nothing owed". "Clearance" shows a green "Cleared" badge with "Nothing owed and no clearance signature is on hold." The table says "No invoices have been issued to you."</t>
  </si>
  <si>
    <t>STU-069</t>
  </si>
  <si>
    <t>Paying updates the balance</t>
  </si>
  <si>
    <t>Sequence: Student 2200055 owes 500.00. Admin 900001 records a payment for this student (Finance, Student accounts).</t>
  </si>
  <si>
    <t xml:space="preserve">1. As the student, note the balance on Statement of account.
2. The Admin records and approves a full payment.
3. Reload Statement of account as the student.
4. Open My payments, Receipts.</t>
  </si>
  <si>
    <t>The balance drops to 0.00 (or by the amount paid), the "Paid" column shows the payment, and the clearance moves to Cleared when nothing else is owed. Receipts shows a receipt for the payment.</t>
  </si>
  <si>
    <t>VERIFY: when the receipt appears (after the payment is verified).</t>
  </si>
  <si>
    <t>STU-070</t>
  </si>
  <si>
    <t>My payments &gt; Receipts</t>
  </si>
  <si>
    <t>Receipts page: empty state and viewing a receipt</t>
  </si>
  <si>
    <t>Signed in as a student with no receipts, then one with a receipt (after a verified payment).</t>
  </si>
  <si>
    <t xml:space="preserve">1. Open My payments, then Receipts.
2. Read the page when there is no receipt.
3. Sign in as a student with a receipt and open Receipts.
4. Tap "View Receipt" on one card.
5. Look for "Print receipt" and, if present, "Open receipt file".
6. Close the window.</t>
  </si>
  <si>
    <t>No receipts: "No receipts yet" and "A receipt appears here after a payment you made is verified by the organization." With a receipt: a card with the description, date, receipt number and amount. The window shows the receipt with "Close" and "Print receipt".</t>
  </si>
  <si>
    <t>STU-071</t>
  </si>
  <si>
    <t>Receipts on a phone</t>
  </si>
  <si>
    <t>A phone. A student with at least one receipt.</t>
  </si>
  <si>
    <t xml:space="preserve">1. Open the menu, tap "My payments", then "Receipts".
2. Scroll the cards.
3. Tap "View Receipt" on one card.
4. Close the window with "Close".</t>
  </si>
  <si>
    <t>Cards stack in one column. "View Receipt" is at least about 44 pixels tall. The receipt window fits the screen and scrolls if long. No sideways scroll.</t>
  </si>
  <si>
    <t>STU-072</t>
  </si>
  <si>
    <t>Student cannot open finance management pages</t>
  </si>
  <si>
    <t xml:space="preserve">1. Type the site address followed by /dashboard/finance/financial-ledger and press Enter.
2. Check the page.
3. Type the site address followed by /dashboard/finance/student-accounts and press Enter.
4. Check the page.
5. Type the site address followed by /dashboard/finance/collections and press Enter, then /dashboard/finance/budget-allocation.
6. Check the page.</t>
  </si>
  <si>
    <t>Every address ends on the student home. A student never sees other students' balances, the ledger, collections or budgets. The student sees only their own statement and receipts.</t>
  </si>
  <si>
    <t>STU-073</t>
  </si>
  <si>
    <t>Announcements feed shows published posts</t>
  </si>
  <si>
    <t>Sequence: the Admin or an officer posts an announcement for All or for Students and it is published (an officer post needs Admin approval first). Student 2100142.</t>
  </si>
  <si>
    <t xml:space="preserve">1. Open Announcements from the menu (under Updates).
2. Read the first post: organization name, date, title, text and any picture.
3. Tap "Like" on a post.
4. Tap it again.</t>
  </si>
  <si>
    <t>The post appears with the organization name (or Student Affairs Office for the SAO). "Like" changes to "Liked" and the count goes up by one. Tapping again takes the like back and the count goes down by one.</t>
  </si>
  <si>
    <t>STU-074</t>
  </si>
  <si>
    <t>Draft, waiting, scheduled and expired announcements are hidden</t>
  </si>
  <si>
    <t>Sequence: the Admin 900001 creates (a) a draft not published, (b) a post scheduled for tomorrow, (c) a post that expired, and an officer 900004 creates (d) a post that still waits for Admin approval. Use clear titles such as "QA draft".</t>
  </si>
  <si>
    <t xml:space="preserve">1. As the Admin and officer, create the four posts.
2. As Student 2100142 open Announcements.
3. Search for "QA".
4. Reload the page and check again.</t>
  </si>
  <si>
    <t>None of the four posts shows for the student. Only published, approved posts that have started and not expired are visible. Approving or publishing one makes it appear.</t>
  </si>
  <si>
    <t>STU-075</t>
  </si>
  <si>
    <t>Announcements on a phone</t>
  </si>
  <si>
    <t>A phone. At least one announcement with a picture.</t>
  </si>
  <si>
    <t xml:space="preserve">1. Open the menu and tap "Announcements".
2. Scroll through the posts.
3. Tap "Like" on a post.
4. Try to drag the page sideways.</t>
  </si>
  <si>
    <t>The picture fits the screen width. The "Like" button is at least about 44 pixels tall and works with one tap. No sideways scroll.</t>
  </si>
  <si>
    <t>STU-076</t>
  </si>
  <si>
    <t>Student cannot open announcement management pages</t>
  </si>
  <si>
    <t xml:space="preserve">1. Type the site address followed by /dashboard/announcements/manage-announcements and press Enter.
2. Check the page.
3. Type the site address followed by /dashboard/announcements/create-announcement and press Enter.
4. Check the page.</t>
  </si>
  <si>
    <t>Both addresses end on the student home. No Create announcement form is shown.</t>
  </si>
  <si>
    <t>STU-077</t>
  </si>
  <si>
    <t>Notifications bell: list, detail and open related record</t>
  </si>
  <si>
    <t>The student has at least one notification (for example after a grievance update or a new announcement). Student 2100142.</t>
  </si>
  <si>
    <t xml:space="preserve">1. Look at the bell icon in the top bar for a number.
2. Tap the bell.
3. Read the panel heading and the list.
4. Tap one notification.
5. Tap "Open related record" if it is shown.</t>
  </si>
  <si>
    <t>The panel "Notifications" shows an "N new" label and the latest 10 notifications, unread ones highlighted. Tapping one shows its full text with "Back to notifications". "Open related record" takes you to the right student page. With none, the panel says "No notifications yet".</t>
  </si>
  <si>
    <t>STU-078</t>
  </si>
  <si>
    <t>Notification panel fits a phone screen</t>
  </si>
  <si>
    <t>A phone (or browser about 390 pixels wide). The student has notifications.</t>
  </si>
  <si>
    <t xml:space="preserve">1. Tap the bell.
2. Check the panel edges against the screen edges.
3. Scroll inside the panel.
4. Tap a notification, then "Back to notifications".
5. Tap outside the panel or the bell again.</t>
  </si>
  <si>
    <t>The panel fits between the screen edges with a small margin and scrolls inside itself. Rows are large enough to tap. Tapping the bell again closes it.</t>
  </si>
  <si>
    <t>STU-079</t>
  </si>
  <si>
    <t>Support &gt; My grievances</t>
  </si>
  <si>
    <t>File a grievance to my organization</t>
  </si>
  <si>
    <t>Signed in as Student 2200451 (laptop) or 2300078 (phone). The AI helpers are off on the public copy, so the classification may use simple rules.</t>
  </si>
  <si>
    <t xml:space="preserve">1. Open Support, then My grievances.
2. Check that the tab "File a grievance" is open.
3. Type a short title in "What's this about?".
4. Type a description in "Tell us what happened".
5. Leave "My organization" selected under "Who should this go to?".
6. Tap "File this grievance".</t>
  </si>
  <si>
    <t>A message "Your grievance was filed. Thank you for speaking up." appears and the tab "My grievances (1)" opens. The card shows your title, "Addressed to &lt;organization&gt; · Filed &lt;time&gt;", the badge Submitted and the line "Waiting for Admin to review". Total clicks from the home page: about 4.</t>
  </si>
  <si>
    <t>STU-080</t>
  </si>
  <si>
    <t>File a grievance to the Student Affairs Office</t>
  </si>
  <si>
    <t>Signed in as a student (for example 2300078).</t>
  </si>
  <si>
    <t xml:space="preserve">1. Open Support, My grievances, tab "File a grievance".
2. Fill the title and description.
3. Under "Who should this go to?" choose "Student Affairs Office".
4. Read the text that replaces the anonymous checkbox.
5. Tap "File this grievance".</t>
  </si>
  <si>
    <t>The text says that reports filed directly with the Student Affairs Office are handled by SAO staff only and anonymity toward the organization does not apply. After filing, the card says "Addressed to Student Affairs Office" and "Waiting for SAO to review".</t>
  </si>
  <si>
    <t>STU-081</t>
  </si>
  <si>
    <t>Track a grievance until the answer arrives</t>
  </si>
  <si>
    <t>Sequence: a student filed a grievance to the SAO (previous case). The SAO 990001 opens Reviews, Grievances and moves it to under review, then resolves it with remarks. On the public link ask the SAO player for the run password.</t>
  </si>
  <si>
    <t xml:space="preserve">1. As the student, open Support, My grievances and note the stage text.
2. The SAO marks the grievance under review.
3. Reload the student page and read the badge and the stage text.
4. The SAO resolves it and writes remarks.
5. Reload the student page and read the card.
6. Tap the bell and read the notification.</t>
  </si>
  <si>
    <t>After step 3: badge Under review and text "Under review by SAO". After step 5: badge Resolved, the stepper is complete and a box "Response" shows the SAO remarks. A notification says the grievance is now resolved. The "Delete" icon is no longer offered.</t>
  </si>
  <si>
    <t>STU-082</t>
  </si>
  <si>
    <t>Delete a grievance only while it is still Submitted</t>
  </si>
  <si>
    <t>A student with one grievance in the Submitted state and one that was already reviewed.</t>
  </si>
  <si>
    <t xml:space="preserve">1. Open Support, My grievances, tab "My grievances".
2. Find the Submitted grievance and its trash icon.
3. Tap the trash icon.
4. Read the window "Delete this grievance?" and confirm with "Delete grievance".
5. Look at the reviewed grievance for a trash icon.</t>
  </si>
  <si>
    <t>The Submitted grievance can be deleted after the confirmation ("Your grievance was deleted."). The reviewed grievance has no trash icon. The window warns that a reviewed grievance cannot be deleted.</t>
  </si>
  <si>
    <t>STU-083</t>
  </si>
  <si>
    <t>Grievances on a phone</t>
  </si>
  <si>
    <t>A phone (or browser about 390 pixels wide). Student 2300078.</t>
  </si>
  <si>
    <t xml:space="preserve">1. Open the menu, tap "Support", then "My grievances".
2. Check that both tabs are visible.
3. Tap the options "My organization" and "Student Affairs Office".
4. Type in the "Tell us what happened" box and check the toolbar.
5. Scroll down and tap "File this grievance".</t>
  </si>
  <si>
    <t>Tabs and the two options are easy to tap. The text box fits the screen. The "File this grievance" button is full size and reachable. No sideways scroll.</t>
  </si>
  <si>
    <t>STU-084</t>
  </si>
  <si>
    <t>Student cannot open the organization grievance review pages</t>
  </si>
  <si>
    <t xml:space="preserve">1. Type the site address followed by /dashboard/grievances and press Enter.
2. Check the page.
3. Type the site address followed by /dashboard/super-admin/grievances and press Enter.
4. Check the page.</t>
  </si>
  <si>
    <t>Both addresses end on the student home. A student can only see their own grievances on My grievances.</t>
  </si>
  <si>
    <t>STU-085</t>
  </si>
  <si>
    <t>Support &gt; My clearance</t>
  </si>
  <si>
    <t>Clearance checklist with signatures</t>
  </si>
  <si>
    <t>Sequence: the SAO has opened a clearance period for the term (Reviews, Clearances). Student 2100142.</t>
  </si>
  <si>
    <t xml:space="preserve">1. Open Support, then My clearance.
2. Read the title of the period, the academic year and the deadline.
3. Read the progress bar "Signatures cleared".
4. Read each signature row and its badge.</t>
  </si>
  <si>
    <t>The page shows the period name and year, a stepper "Clearance signatures", the count such as "0 of 4" and one row per signer (for example Student Affairs Office (SAO), Organization adviser, Organization treasurer, Organization president). Waiting rows say "Waiting on &lt;who&gt;". Total clicks from the home page: 2.</t>
  </si>
  <si>
    <t>STU-086</t>
  </si>
  <si>
    <t>No clearance period yet</t>
  </si>
  <si>
    <t>No clearance period is open (fresh seed). Student 2100142.</t>
  </si>
  <si>
    <t xml:space="preserve">1. Open the menu and tap "Support".
2. Tap "My clearance".
3. Read the page.</t>
  </si>
  <si>
    <t>The page says "No clearance period yet" and explains that the Student Affairs Office opens a clearance period each semester. The home page says "No clearance period" on the "My clearance" line.</t>
  </si>
  <si>
    <t>STU-087</t>
  </si>
  <si>
    <t>A signature on hold explains who to see</t>
  </si>
  <si>
    <t>Sequence: a signer (officer 900004, Admin 900001 or the SAO) puts this student on hold with a remark, for example "Unpaid fee".</t>
  </si>
  <si>
    <t xml:space="preserve">1. As the signer, hold the clearance for Student 2200055 with a remark.
2. As the student, open Support, My clearance.
3. Read the row with the hold.
4. Open My payments, Statement of account.
5. Read the Clearance box.</t>
  </si>
  <si>
    <t>The row shows an On hold badge, the remark and "Please see &lt;the Student Affairs Office or your organization's ...&gt;.". The Statement of account page also shows "On hold" with the same reason. Home says "On hold: see My clearance".</t>
  </si>
  <si>
    <t>STU-088</t>
  </si>
  <si>
    <t>My clearance on a phone</t>
  </si>
  <si>
    <t>A phone. A student with an open clearance period.</t>
  </si>
  <si>
    <t xml:space="preserve">1. Open the menu, tap "Support", then "My clearance".
2. Read the signature rows.
3. Try to drag the page sideways.</t>
  </si>
  <si>
    <t>Rows wrap neatly with badges and notes. The progress stepper fits the width. No sideways scroll.</t>
  </si>
  <si>
    <t>STU-089</t>
  </si>
  <si>
    <t>Student cannot open clearance signing pages</t>
  </si>
  <si>
    <t xml:space="preserve">1. Type the site address followed by /dashboard/clearances and press Enter.
2. Check the page.
3. Type the site address followed by /dashboard/super-admin/clearances and press Enter.
4. Check the page.</t>
  </si>
  <si>
    <t>Both addresses end on the student home. A student cannot sign clearances or see other students' clearances.</t>
  </si>
  <si>
    <t>STU-090</t>
  </si>
  <si>
    <t>Profile page shows my details</t>
  </si>
  <si>
    <t xml:space="preserve">1. Open Profile at the bottom of the menu (or the account menu, then "View Profile").
2. Read the left card: name, role, School ID, Organization and Email address.
3. Read the right side sections.</t>
  </si>
  <si>
    <t>The card shows your full name, "Student", School ID 2100142, your organization (PSITS-CCS) and your email. The right side has "Personal information", "Password &amp; security", "Notifications" and "Your recent activity".</t>
  </si>
  <si>
    <t>STU-091</t>
  </si>
  <si>
    <t>Edit and save my profile</t>
  </si>
  <si>
    <t>Signed in as a spare student such as 2300163.</t>
  </si>
  <si>
    <t xml:space="preserve">1. Open Profile.
2. Check that "Save profile" is disabled before you change anything.
3. Type a mobile number such as 0917 123 4567 in "Mobile number (optional)".
4. Tap "Save profile".
5. Reload the page.
6. Change the number again and tap "Discard changes".</t>
  </si>
  <si>
    <t>"Save profile" only works after a change. A message "Profile changes saved." appears and the number is still there after reload. "Discard changes" puts the saved value back. The home checklist step "Add your contact number" is done after a number is saved.</t>
  </si>
  <si>
    <t>STU-092</t>
  </si>
  <si>
    <t>Change password from Profile</t>
  </si>
  <si>
    <t>Signed in as a spare student such as 2300163. Remember to tell the demo owner the new password afterwards.</t>
  </si>
  <si>
    <t xml:space="preserve">1. Open Profile and go to "Password &amp; security".
2. Tap "Update password" with all boxes empty and read the message.
3. Fill "Current password" correctly, type abc in "New password" and "Confirm new password", and tap "Update password".
4. Type a good new password in "New password" and a different one in "Confirm new password", then tap "Update password".
5. Type the same good password in both and tap "Update password".</t>
  </si>
  <si>
    <t>Step 2: "Current password, new password, and confirmation are required." Step 3: "New password must be at least 8 characters." Step 4: "New passwords do not match." Step 5: "Password updated. Your other devices were signed out." The two helper lines "At least 8 characters" and "New passwords match" turn green while you type.</t>
  </si>
  <si>
    <t>STU-093</t>
  </si>
  <si>
    <t>Profile on a phone</t>
  </si>
  <si>
    <t>A phone (or browser about 390 pixels wide). Signed in as a spare student.</t>
  </si>
  <si>
    <t xml:space="preserve">1. Open the menu and tap "Profile".
2. Scroll from the top card to "Password &amp; security".
3. Tap into "Current password" and check that the keyboard does not hide the "Update password" button when you scroll.
4. Try to drag the page sideways.</t>
  </si>
  <si>
    <t>Everything is in one column. Buttons are full size and reachable. No sideways scroll.</t>
  </si>
  <si>
    <t>STU-094</t>
  </si>
  <si>
    <t>Student cannot open other role home pages</t>
  </si>
  <si>
    <t xml:space="preserve">1. Type the site address followed by /dashboard/admin and press Enter.
2. Check the address bar and the page.
3. Repeat with /dashboard/officer, then /dashboard/department-head, then /dashboard/super-admin.
4. Press the browser Back button once and check the page.</t>
  </si>
  <si>
    <t>Each time you are sent to the student home and the address bar shows /dashboard/student. You do NOT see a 403 page, a blank page or the other role's home. Back does not open a staff page either.</t>
  </si>
  <si>
    <t>STU-095</t>
  </si>
  <si>
    <t>Student cannot open member, approval and audit pages</t>
  </si>
  <si>
    <t xml:space="preserve">1. Type the site address followed by /dashboard/admin/users and press Enter.
2. Check the page.
3. Type /dashboard/admin/positions, then /dashboard/admin/programs-sections, then /dashboard/audit-logs, one at a time.
4. Type /dashboard/approvals and then /dashboard/approval-requests/new.</t>
  </si>
  <si>
    <t>Every address ends on the student home. A student sees no list of members, no officer positions, no audit log and no approval screens.</t>
  </si>
  <si>
    <t>STU-096</t>
  </si>
  <si>
    <t>Student cannot open task, venue and compliance pages</t>
  </si>
  <si>
    <t xml:space="preserve">1. Type the site address followed by /dashboard/tasks/task-board and press Enter.
2. Check the page.
3. Type /dashboard/tasks/assigned-tasks, then /dashboard/venues, then /dashboard/compliance, one at a time.
4. Type /dashboard/super-admin/compliance and /dashboard/department-head/approvals.</t>
  </si>
  <si>
    <t>Every address ends on the student home with no error page.</t>
  </si>
  <si>
    <t>STU-097</t>
  </si>
  <si>
    <t>Student sees only own organization data</t>
  </si>
  <si>
    <t>Fresh seed. Student 2400118 belongs to FES-CTE and Student 2400133 to EIG-COE. Student 2100142 belongs to PSITS-CCS.</t>
  </si>
  <si>
    <t xml:space="preserve">1. Sign in as Student 2400118 and open Events, Voting (Vote), Store (Shop) and Announcements.
2. Write down what you see in each.
3. Sign in as Student 2100142 and open the same four pages.
4. Compare the two lists.</t>
  </si>
  <si>
    <t>Student 2400118 sees only FES-CTE items (events, election, shop products, announcements), not the PSITS-CCS ones such as "Sports Fest 2024" or "HIUSA Tote Bag", and cannot vote in a PSITS-CCS election.</t>
  </si>
  <si>
    <t>VERIFY: FES-CTE may have little or no data, so empty lists are expected. University announcements from the SAO may be visible to everyone.</t>
  </si>
  <si>
    <t>STU-098</t>
  </si>
  <si>
    <t>Student cannot see another student's orders, balance or receipts</t>
  </si>
  <si>
    <t>Student 2200055 owes money and Student 2300312 has an order. Two browsers.</t>
  </si>
  <si>
    <t xml:space="preserve">1. Sign in as Student 2300312 and open Store, My orders. Note the order number.
2. Sign in as Student 2200055 on another browser and open Store, My orders.
3. Look for the order number of the first student.
4. Open My payments, Statement of account as Student 2300312 and note the balance.</t>
  </si>
  <si>
    <t>Student 2200055 never sees the other student's order. Each student sees only their own orders, invoices and receipts.</t>
  </si>
  <si>
    <t>STU-099</t>
  </si>
  <si>
    <t>Pages stay usable on a narrow phone screen</t>
  </si>
  <si>
    <t xml:space="preserve">1. Open each of these pages in turn: Home, Events, Vote, Shop, My orders, Statement of account, Receipts, Announcements, My clearance, My grievances, Profile.
2. On each page, try to drag the page sideways.
3. Write down any page that moves sideways or has text cut off.</t>
  </si>
  <si>
    <t>No page moves sideways as a whole. Tables may swipe sideways only inside their own box. No text or button is cut off at the edge.</t>
  </si>
  <si>
    <t>STU-100</t>
  </si>
  <si>
    <t>Touch targets on a phone are big enough</t>
  </si>
  <si>
    <t>A phone. Student 2100142.</t>
  </si>
  <si>
    <t xml:space="preserve">1. On the home page, try the buttons in the top bar: menu, "Go to page", cart, bell and account.
2. On Shop, try "Add to Cart" and the quantity box.
3. On My grievances, try the two tabs and the two options under "Who should this go to?".
4. Write down every button you missed or had to tap twice.</t>
  </si>
  <si>
    <t>Buttons can be tapped on the first try and are about 44 pixels tall or more. Report any smaller button with the page name.</t>
  </si>
  <si>
    <t>VERIFY: the top-left menu button is about 40 pixels.</t>
  </si>
  <si>
    <t>STU-101</t>
  </si>
  <si>
    <t>Vote in an election that was built inside the active semester</t>
  </si>
  <si>
    <t>Run after ADM-152, DH-046, ADM-161, ADM-163 and ADM-166</t>
  </si>
  <si>
    <t>Round 2: the SAO has activated a semester. Sequence: Admin 900001 creates an election inside the semester, Department Head 940001 approves it, Admin adds a party list and one candidate for every position, then finalizes the ballot, and voting has opened. Student 2100142 has not voted. The MEMBER_TESTING guide says nobody has tried this path yet.</t>
  </si>
  <si>
    <t xml:space="preserve">1. Open Voting, then Vote.
2. Find the election card. Read the badge and the button.
3. Tap "Vote in this election", then "Start my ballot".
4. On each position tap one candidate and tap "Next position". On the last one tap "Review ballot".
5. Tap "Submit final ballot" and then "Confirm and submit".
6. Tap "Back to Vote" and read the card. Then open Voting, Results.</t>
  </si>
  <si>
    <t>The card shows an "Open" badge and the button "Vote in this election". The page "Ballot submitted" shows a "Ballot receipt hash". The Vote page then shows the election as Voted. Results shows "Live vote totals" without any voter names. No message about a closed semester appears.</t>
  </si>
  <si>
    <t>VERIFY: nobody has run this path before. If the card is missing, the button is greyed or the vote is refused, write down the exact words and the time, and report it as Blocked.</t>
  </si>
  <si>
    <t>STU-102</t>
  </si>
  <si>
    <t>An event cleared by the Admin, the Department Head and the SAO shows up with a notification</t>
  </si>
  <si>
    <t>Round 2: the SAO has activated a semester. Sequence: Admin 900001 proposes an event inside the semester, Department Head 940001 approves it, Admin sends the SAO files and the SAO approves the event. Keep Student 2100142 signed in on a second device or window before the last approval. If the event needs no SAO files, the head's approval is the last one.</t>
  </si>
  <si>
    <t xml:space="preserve">1. As the student, open Events and look for the new event title.
2. The last approver approves the event.
3. Reload the page. Click the bell at the top.
4. Click the notification "Event Approved: &lt;event title&gt;".
5. Open Events again and switch to the Calendar view. Find the event on its date.</t>
  </si>
  <si>
    <t>Before the last approval the event is not in the list. After it, the bell shows one new notification "Event Approved: &lt;event title&gt;" with the text "A new approved event is now available in the activity calendar." Clicking it opens the event. The event is in the Events list with the status Approved and in the Calendar view on the right day. The Admin who proposed it does not get this notice.</t>
  </si>
  <si>
    <t>VERIFY: the exact page the notification opens.</t>
  </si>
  <si>
    <t>STU-103</t>
  </si>
  <si>
    <t>A student who already attended cannot register again or cancel</t>
  </si>
  <si>
    <t>Run after STU-029 and SBO-018</t>
  </si>
  <si>
    <t>Student 2100142 registered for an approved event that has not started (see STU-029). Officer 900004 will check this student in on another device. Open the event window on two tabs before the check-in.</t>
  </si>
  <si>
    <t xml:space="preserve">1. In tab 1 and tab 2 open the event. Both show "You are registered" and a "Cancel registration" button.
2. The officer checks Student 2100142 in (Events and tasks, Check-in).
3. In tab 1 reload the event. Read the status, the message and the buttons.
4. In tab 2 (not reloaded) click "Cancel registration".
5. Read the red message.</t>
  </si>
  <si>
    <t>After the reload, tab 1 shows the badge Attended, the line "Your attendance at this event is on record." and no "Register for this event" and no "Cancel registration" button. In tab 2 the click is refused with a red message such as "You have already attended this event and cannot cancel your registration." The student stays Attended. The message "You have already attended this event." belongs to a second Register request and can only be seen by a technical teammate sending it.</t>
  </si>
  <si>
    <t>VERIFY: the exact wording shown on the screen.</t>
  </si>
  <si>
    <t>STU-104</t>
  </si>
  <si>
    <t>My attendance summary lists the check-ins the officer recorded</t>
  </si>
  <si>
    <t>Run after STU-103</t>
  </si>
  <si>
    <t>Student 2100142 has been checked in to at least one event as Present and, if possible, one as Late (officer 900004 can choose the status). The code puts the "My attendance" panel on the Check-in tab, and the router only lets Admin and Officer open that page.</t>
  </si>
  <si>
    <t xml:space="preserve">1. Open Events from the menu.
2. Look for a panel called "My attendance" on the page.
3. If you cannot find it, try the page address /dashboard/events/check-in and note where it sends you.
4. If you found it, read the tiles "Events attended", "Missed events" and "Attendance rate".
5. Read each record: event name, date and the status badge.</t>
  </si>
  <si>
    <t>Expected by design: a panel "My attendance" with the text "Based on recorded attendance only. Excused records are excluded from the rate." Tiles show Events attended (Present plus Late), Missed events (Absent) and Attendance rate. Each record shows a badge Present, Late, Excused or Absent. A student who never got checked in does not get a record here: that student sees the badge No-show on the event window instead.</t>
  </si>
  <si>
    <t>VERIFY: a student probably cannot reach this panel at all, because the Check-in address is limited to Admin and Officer. If it cannot be found anywhere on the student pages, report it as Blocked ("My attendance panel not reachable for students").</t>
  </si>
  <si>
    <t>STU-105</t>
  </si>
  <si>
    <t>Order a product with sizes and see the message when no size is chosen</t>
  </si>
  <si>
    <t>Run after ADM-176</t>
  </si>
  <si>
    <t>Signed in as Student 2100142. The Admin has added a product with sizes, for example "QA Shirt" with S and M, each with its own stock (see ADM-176). Use Student 2300312 if 2100142 has orders in the way.</t>
  </si>
  <si>
    <t xml:space="preserve">1. Open Store, Shop and find the card of the product with sizes.
2. Read the box "Size / variant". Open it and read the options.
3. Leave "Select variant" and tap "Add to Cart". Read the message.
4. Choose one size, keep quantity 1 and tap "Add to Cart".
5. Open the cart. Read the line of the product.
6. Tap "Review &amp; Continue", keep Cash on pickup and tap "Place Reservation".
7. Open My orders and read the order.</t>
  </si>
  <si>
    <t>The size list shows each size with its stock, for example "M, 10 available", and a size with no stock is greyed out. With no size chosen the screen stops you with "Select a variant for &lt;product name&gt;." and the cart does not change. After you choose a size, a message like "1 x QA Shirt added to cart." appears and the cart line shows the size name before the price. The order is placed and My orders shows the order with the size you chose. The server message "Select a valid variant for this product." only appears if a request skips the screen, so a technical teammate has to send it.</t>
  </si>
  <si>
    <t>STU-106</t>
  </si>
  <si>
    <t>Mute one kind of notification, trigger it, then turn it back on</t>
  </si>
  <si>
    <t>Signed in as Student 2100142. Admin 900001 is ready to publish an announcement on another device. Open the bell first and write down the unread number.</t>
  </si>
  <si>
    <t xml:space="preserve">1. Open Profile and find the section "Notifications".
2. Switch "Announcements" off. Read the message.
3. The Admin publishes an announcement (Updates, Announcements, New announcement, Publish Now).
4. Reload the page. Read the bell number and open the bell.
5. Open Updates &gt; Announcements and look for the same announcement.
6. Back in Profile switch "Announcements" on again. Reload and open the bell.</t>
  </si>
  <si>
    <t>Step 2 shows "Announcements hidden from your notifications". While it is off, the bell does not show "New Announcement: &lt;title&gt;" and the unread number does not go up, but the announcement is still in the Announcements feed. After you switch it on again, the bell shows the notice again (it was only hidden). The four switches are Announcements, Events and reminders, Elections and Merchandise orders. Approvals, tasks, account and payment notices cannot be switched off.</t>
  </si>
  <si>
    <t>VERIFY: that the notice made during the mute shows again after you turn the switch on.</t>
  </si>
  <si>
    <t>STU-107</t>
  </si>
  <si>
    <t>A debt blocks Cleared; paying it and the signatures give Cleared</t>
  </si>
  <si>
    <t>Run after SAO-079, ADM-211, SBO-087, ADM-133 and ADM-135</t>
  </si>
  <si>
    <t>The SAO opened a clearance period (SAO-079) and the Admin and Officer already signed for Student 2200055 (ADM-211 and SBO-087). Admin 900001 adds a charge of 150.00 to 2200055 (ADM-133) before step 1. Sign in as Student 2200055.</t>
  </si>
  <si>
    <t xml:space="preserve">1. Open My payments, Statement of account.
2. Read "Outstanding balance" and "Clearance".
3. Open Support, My clearance and read "Signatures cleared".
4. The Admin records a full payment on the invoice (Finance, Student accounts, View account, Record payment).
5. Reload Statement of account and read both boxes again.
6. The SAO clears its own signature for this student (Reviews, Clearances).
7. Reload My clearance and Statement of account.</t>
  </si>
  <si>
    <t>With the debt, "Outstanding balance" shows 150.00 and "1 unpaid invoice", and "Clearance" shows On hold with the text "You owe 150.00: 1 unpaid invoice." It does not show Cleared. After the payment the balance shows 0.00 with "Nothing owed" and the Clearance box turns to a green Cleared with "Nothing owed and no clearance signature is on hold." My clearance still says "2 of 3" until the SAO signs. After the SAO signs, My clearance says "Your clearance is complete!" and Statement of account stays Cleared.</t>
  </si>
  <si>
    <t>VERIFY: Statement of account may show Cleared before the SAO signs, because it only checks debt and held signatures. Write down if this confuses you.</t>
  </si>
  <si>
    <t>STU-108</t>
  </si>
  <si>
    <t>Study objectives evidence links open pages a student may see</t>
  </si>
  <si>
    <t>Signed in as Student 2100142. Some activity exists, so the counts are not all zero.</t>
  </si>
  <si>
    <t xml:space="preserve">1. Scroll to the bottom of the menu and tap "Study objectives".
2. Tap an evidence tile with an arrow, for example "Digital receipts issued" or "Events completed".
3. Go back and tap a tile with an arrow about votes or orders, for example "Votes cast" or "Orders claimed with a token".
4. Go back and tap a tile with no arrow, for example "Transactions recorded in the ledger".
5. Write down each tile and the page it opened.</t>
  </si>
  <si>
    <t>A tile with an arrow opens a student page: My payments &gt; Receipts, Events, Voting or Results, or My orders. You never land on a "not allowed" redirect. A tile with no arrow is plain text and does nothing. Tiles that point to staff pages ("Check-ins recorded manually", "Orders placed", "Transactions recorded in the ledger") have no arrow for a student.</t>
  </si>
  <si>
    <t>VERIFY: the exact tiles with an arrow for a student (from the server route list: Receipts, Events, Elections and Results, Claim tokens).</t>
  </si>
  <si>
    <t>GEN-001</t>
  </si>
  <si>
    <t>Smoke test</t>
  </si>
  <si>
    <t>Open the link and see the sign-in page</t>
  </si>
  <si>
    <t>The test copy is running and you have its link.</t>
  </si>
  <si>
    <t xml:space="preserve">1. Open the test link in a desktop browser.
2. Wait for the page to finish loading.
3. Look at the left side and the right side of the page.</t>
  </si>
  <si>
    <t>The page "Sign in to HIUSA" shows. A dark blue panel with the HIUSA logo is on the left. The form is on the right with School ID / ID Number, Password, Forgot password? and a Sign in button. No error text shows.</t>
  </si>
  <si>
    <t>GEN-002</t>
  </si>
  <si>
    <t>Sign in as a Student and reach the student home</t>
  </si>
  <si>
    <t>The test copy is running and you have its link. Demo accounts and their passwords are in section 2 of the member testing guide (the SAO password comes from the person running the demo). You are signed out (no one is signed in on this browser).</t>
  </si>
  <si>
    <t xml:space="preserve">1. Open the sign-in page.
2. Type 2100142 in School ID / ID Number.
3. Type the demo password in Password.
4. Choose Sign in.</t>
  </si>
  <si>
    <t>You land on the student home page at /dashboard/student. The sidebar shows the Student menu and your name is at the top right.</t>
  </si>
  <si>
    <t>GEN-003</t>
  </si>
  <si>
    <t>A wrong password shows a clear message</t>
  </si>
  <si>
    <t>The test copy is running and you have its link. You are signed out (no one is signed in on this browser). Use a spare account, not one other testers are using.</t>
  </si>
  <si>
    <t xml:space="preserve">1. Open the sign-in page.
2. Type 2400093 in School ID / ID Number.
3. Type a password you know is wrong.
4. Choose Sign in.</t>
  </si>
  <si>
    <t>A red message appears above the Forgot password? link: "The provided credentials are incorrect." You stay on the sign-in page and are not signed in.</t>
  </si>
  <si>
    <t>GEN-004</t>
  </si>
  <si>
    <t>Each of the five roles lands on its own home</t>
  </si>
  <si>
    <t>The test copy is running and you have its link. Demo accounts and their passwords are in section 2 of the member testing guide (the SAO password comes from the person running the demo). You have one account for each role: SAO 990001, Department Head 940001, Admin 900001, SBO Officer 900004, Student 2100142.</t>
  </si>
  <si>
    <t xml:space="preserve">1. Sign in as the SAO and note the page you land on, then sign out.
2. Sign in as the Department Head, note the page, then sign out.
3. Sign in as the Admin, note the page, then sign out.
4. Sign in as the SBO Officer, note the page, then sign out.
5. Sign in as the Student and note the page.</t>
  </si>
  <si>
    <t>The addresses end in /dashboard/super-admin (SAO), /dashboard/department-head, /dashboard/admin, /dashboard/officer and /dashboard/student. Each home page opens without an error message.</t>
  </si>
  <si>
    <t>GEN-005</t>
  </si>
  <si>
    <t>Open three menu pages without an error</t>
  </si>
  <si>
    <t>The test copy is running and you have its link. Signed in as the Student demo account 2100142.</t>
  </si>
  <si>
    <t xml:space="preserve">1. In the sidebar, choose Events.
2. Choose Store, then Shop (or the first page it opens).
3. Choose Updates, then Announcements.</t>
  </si>
  <si>
    <t>Each page opens with a title and content (or a friendly empty message). No page shows a blank white screen, a red error box, or words such as "Something went wrong".</t>
  </si>
  <si>
    <t>GEN-006</t>
  </si>
  <si>
    <t>Reload a page deep inside the app and stay signed in</t>
  </si>
  <si>
    <t xml:space="preserve">1. Open the Statement of account page from the sidebar.
2. Press F5 to reload the page.
3. Wait for the page to load again.</t>
  </si>
  <si>
    <t>The same page opens again. You are still signed in. You are not sent to the sign-in page.</t>
  </si>
  <si>
    <t>GEN-007</t>
  </si>
  <si>
    <t>A page that belongs to another role sends you back home</t>
  </si>
  <si>
    <t xml:space="preserve">1. In the address bar, replace the page address with the test link followed by /dashboard/admin.
2. Press Enter.
3. Wait for the page to load.</t>
  </si>
  <si>
    <t>You end up on the student home (/dashboard/student). No "403" or "Forbidden" page shows.</t>
  </si>
  <si>
    <t>GEN-008</t>
  </si>
  <si>
    <t>The bell opens and closes</t>
  </si>
  <si>
    <t xml:space="preserve">1. Look at the bell icon at the top right.
2. Choose the bell.
3. Read the panel that opens.
4. Click anywhere outside the panel.</t>
  </si>
  <si>
    <t>A panel titled "Notifications" opens under the bell. It lists notifications or says "No notifications yet". Clicking outside closes it.</t>
  </si>
  <si>
    <t>GEN-009</t>
  </si>
  <si>
    <t>Go to page search finds a page</t>
  </si>
  <si>
    <t>The test copy is running and you have its link. Signed in as the Admin demo account 900001.</t>
  </si>
  <si>
    <t xml:space="preserve">1. Choose Go to page at the top bar (or press Ctrl and K together).
2. Type "audit".
3. Press Enter on the first result.</t>
  </si>
  <si>
    <t>A search box titled "Search pages" opens. The Audit log page appears in the list and opens when you press Enter.</t>
  </si>
  <si>
    <t>GEN-010</t>
  </si>
  <si>
    <t>Phone: sign in and open the menu drawer</t>
  </si>
  <si>
    <t>The test copy is running and you have its link. Use a real phone, or a desktop browser window narrower than 640 px. You are signed out (no one is signed in on this browser).</t>
  </si>
  <si>
    <t xml:space="preserve">1. Open the test link on the phone.
2. Sign in as the Student 2100142.
3. Tap the menu icon (three lines) at the top left.
4. Tap one page in the menu.</t>
  </si>
  <si>
    <t>The sign-in page is one column with the dark HIUSA panel on top. After sign-in the menu opens as a drawer from the left over a dimmed page. Tapping a page opens it and the drawer closes. The page does not scroll sideways.</t>
  </si>
  <si>
    <t>GEN-011</t>
  </si>
  <si>
    <t>Sign out and return to the sign-in page</t>
  </si>
  <si>
    <t xml:space="preserve">1. Choose Logout at the bottom of the sidebar.
2. In the "Log Out" box, choose Log Out.
3. Press the browser Back button.</t>
  </si>
  <si>
    <t>The box says "You will need to sign in again to access your dashboard." After you confirm, the sign-in page opens. Pressing Back does not show the dashboard. You are sent to the sign-in page again.</t>
  </si>
  <si>
    <t>GEN-012</t>
  </si>
  <si>
    <t>An address that does not exist does not show an error page</t>
  </si>
  <si>
    <t xml:space="preserve">1. While signed out, open the test link followed by /this-page-does-not-exist.
2. Sign in as the Student 2100142.
3. Open the test link followed by /dashboard/this-page-does-not-exist.</t>
  </si>
  <si>
    <t>While signed out you land on the sign-in page. While signed in you land on your own home page. No blank page and no technical error text show.</t>
  </si>
  <si>
    <t>GEN-013</t>
  </si>
  <si>
    <t>Sign-in</t>
  </si>
  <si>
    <t>Sign-in page layout on a laptop</t>
  </si>
  <si>
    <t>The test copy is running and you have its link. You are signed out (no one is signed in on this browser). Browser window is wider than 1024 px.</t>
  </si>
  <si>
    <t xml:space="preserve">1. Open the sign-in page.
2. Look at the left panel.
3. Look at the right panel and look for tabs or a role picker.
4. Press Tab once and watch where the highlight goes.</t>
  </si>
  <si>
    <t>The left panel is dark blue with the HIUSA logo, the heading "One accountable platform for your student organization." and a short list of areas. The right panel is white and about 370 px wide. It shows "Sign in to HIUSA", the line "Use your school ID to open your organization workspace.", the two labelled fields, Forgot password? and a blue Sign in button. There are no role tabs or role picker: one form signs in every role and the app picks the home page by the account role. Text does not overlap any decoration. The first Tab puts the highlight on the School ID field.</t>
  </si>
  <si>
    <t>GEN-014</t>
  </si>
  <si>
    <t>School ID field takes digits only (max 8) and an email cannot be used</t>
  </si>
  <si>
    <t>The test copy is running and you have its link. You are signed out (no one is signed in on this browser).</t>
  </si>
  <si>
    <t xml:space="preserve">1. Open the sign-in page.
2. Click School ID / ID Number and type "abc123xyz".
3. Clear the field and type "123456789012".
4. Clear the field and type "student@example.com".
5. Choose Sign in.</t>
  </si>
  <si>
    <t>Letters never appear: the first try shows only 123. The second keeps only the first 8 digits (12345678). The email attempt leaves only digits (or nothing), so no email text stays in the field, and Sign in is refused with a red message such as "The school id field is required." Sign-in uses the School ID only. On a phone the number keypad opens.</t>
  </si>
  <si>
    <t>GEN-015</t>
  </si>
  <si>
    <t>Submitting an empty form shows a message</t>
  </si>
  <si>
    <t xml:space="preserve">1. Open the sign-in page.
2. Leave both fields empty.
3. Choose Sign in.
4. Type only a School ID and choose Sign in again.</t>
  </si>
  <si>
    <t>A red message appears and you stay on the page. It asks for the missing School ID or password (for example "The school id field is required."). The page does not crash and there is no raw technical text.</t>
  </si>
  <si>
    <t>GEN-016</t>
  </si>
  <si>
    <t>Wrong password message</t>
  </si>
  <si>
    <t>The test copy is running and you have its link. You are signed out (no one is signed in on this browser). Use a spare student account such as 2400067.</t>
  </si>
  <si>
    <t xml:space="preserve">1. Open the sign-in page.
2. Type a real School ID such as 2400067.
3. Type a wrong password.
4. Choose Sign in.
5. Repeat with School ID 12345678 (an account that should not exist) and any password.</t>
  </si>
  <si>
    <t>A red message shows: "The provided credentials are incorrect." You are not signed in and the address stays /login. The message is exactly the same for the School ID that does not exist, so the page never tells which IDs are real.</t>
  </si>
  <si>
    <t>GEN-017</t>
  </si>
  <si>
    <t>Show password, Caps Lock hint and the Enter key</t>
  </si>
  <si>
    <t xml:space="preserve">1. Open the sign-in page and type a few characters in Password.
2. Choose the eye button (named "Show password"), then choose it again (now "Hide password").
3. Turn Caps Lock on and type in the Password field.
4. Fill in the Student School ID 2100142 and its password and press Enter instead of choosing the button.</t>
  </si>
  <si>
    <t>The characters show as plain text after the first choice and turn back into dots after the second. With Caps Lock on, the hint "Caps Lock is on." appears under the field. Enter signs in. While the request runs the button shows a loading state and cannot be pressed twice.</t>
  </si>
  <si>
    <t>GEN-018</t>
  </si>
  <si>
    <t>Five wrong passwords lock the account for 15 minutes</t>
  </si>
  <si>
    <t>The test copy is running and you have its link. You are signed out (no one is signed in on this browser). Use a spare account that no one else is testing with, for example 2400093. The lock lasts 15 minutes. Wait about a minute between attempts if you want to see the lock message instead of the rate-limit message.</t>
  </si>
  <si>
    <t xml:space="preserve">1. Open the sign-in page.
2. Type 2400093 and a wrong password. Choose Sign in. Do this five times in total, waiting a little between tries.
3. Try a sixth time with a wrong password.
4. Try again with the CORRECT password.
5. Now sign in with a different account, for example the Student 2100142.</t>
  </si>
  <si>
    <t>After the fifth wrong try, the sixth try is refused with "Too many failed sign in attempts for this account. Please wait before trying again." The correct password is also refused during the lock. After 15 minutes the correct password works again. If you tried very fast, you may instead see "Too many requests. Please wait before trying again." (the limit is 5 tries a minute per School ID and 10 a minute per device). The other account signs in normally, because the lock applies to one School ID only.</t>
  </si>
  <si>
    <t>VERIFY: which of the two messages shows at your speed.</t>
  </si>
  <si>
    <t>GEN-019</t>
  </si>
  <si>
    <t>A signed-in person who opens the sign-in page goes to the dashboard</t>
  </si>
  <si>
    <t xml:space="preserve">1. In the address bar, open the test link followed by /login.
2. Then open the test link followed by /recover-account.
3. Then open the test link followed by /reset-password.</t>
  </si>
  <si>
    <t>Each time you are sent to your dashboard (the student home). The sign-in, recover and reset pages never show to a signed-in person.</t>
  </si>
  <si>
    <t>GEN-020</t>
  </si>
  <si>
    <t>A signed-out person who opens a dashboard address goes to sign-in</t>
  </si>
  <si>
    <t xml:space="preserve">1. Open the test link followed by /dashboard/student.
2. Open the test link followed by /dashboard/admin.
3. Open the test link followed by /dashboard/profile.
4. Open the test link followed by /change-password.</t>
  </si>
  <si>
    <t>Each address sends you to the sign-in page. No dashboard content flashes on screen first.</t>
  </si>
  <si>
    <t>GEN-021</t>
  </si>
  <si>
    <t>A bad or expired sign-in token sends you back to sign-in</t>
  </si>
  <si>
    <t>The test copy is running and you have its link. Signed in as the Student demo account 2100142. A tester who knows browser DevTools does this step. Real sign-ins last 7 days.</t>
  </si>
  <si>
    <t xml:space="preserve">1. Open DevTools (F12) and go to Application, then Local Storage, then the test site.
2. Change the value of "auth_token" to some wrong text such as "abc".
3. Reload the page.
4. Wait for the page to react.</t>
  </si>
  <si>
    <t>The app sends you to the sign-in page. There is no error text, no blank page and no stack trace. Both stored items (auth_token and user) are gone. Signing in again works.</t>
  </si>
  <si>
    <t>GEN-022</t>
  </si>
  <si>
    <t>Signing out from the top bar menu and from the sidebar</t>
  </si>
  <si>
    <t xml:space="preserve">1. Choose your name at the top right to open the account menu.
2. Choose Logout, then Cancel in the box.
3. Choose Logout again and confirm with Log Out.
4. Sign in again and use Logout at the bottom of the sidebar.</t>
  </si>
  <si>
    <t>Cancel keeps you signed in. Confirming signs you out and shows the sign-in page. The sidebar Logout works the same way. Pressing Back after sign-out does not show a dashboard page.</t>
  </si>
  <si>
    <t>GEN-023</t>
  </si>
  <si>
    <t>Switching accounts in the same browser leaves nothing of the first account</t>
  </si>
  <si>
    <t xml:space="preserve">1. Sign in as the Admin 900001 and look at the sidebar.
2. Sign out.
3. Sign in as the Student 2100142.
4. Look at the sidebar, the name at the top right and the home page.</t>
  </si>
  <si>
    <t>The Student sees only Student menu items and the Student name. No Admin menu items, name or numbers from the Admin session remain.</t>
  </si>
  <si>
    <t>GEN-024</t>
  </si>
  <si>
    <t>A disabled account cannot sign in</t>
  </si>
  <si>
    <t>The test copy is running and you have its link. You are signed out (no one is signed in on this browser). An Admin has disabled a throwaway student account (People page, Disable).</t>
  </si>
  <si>
    <t xml:space="preserve">1. Open the sign-in page.
2. Type the School ID of the disabled student.
3. Type the correct password.
4. Choose Sign in.</t>
  </si>
  <si>
    <t>A red message shows: "This account is not active. Please contact an administrator." You are not signed in.</t>
  </si>
  <si>
    <t>GEN-025</t>
  </si>
  <si>
    <t>Forced password change screen appears after sign-in</t>
  </si>
  <si>
    <t>The test copy is running and you have its link. You are signed out (no one is signed in on this browser). An account that must change its password: a student made by the class list import (use its temporary password), or an Admin or Department Head the SAO just created. Seeded demo accounts are not forced.</t>
  </si>
  <si>
    <t xml:space="preserve">1. Open the sign-in page.
2. Sign in with the new account and its temporary password.
3. Read the screen that opens.</t>
  </si>
  <si>
    <t>The page at /change-password shows "Choose a new password" with the line "Your account was created with a default password. Set your own before you continue." It has Current password, New password and Confirm new password and a Save new password button. The dashboard is not shown.</t>
  </si>
  <si>
    <t>GEN-026</t>
  </si>
  <si>
    <t>Nothing else opens until the new password is set</t>
  </si>
  <si>
    <t>The test copy is running and you have its link. You are on the forced "Choose a new password" screen from the previous case.</t>
  </si>
  <si>
    <t xml:space="preserve">1. In the address bar, open the test link followed by /dashboard/student (or your own role home).
2. Open the test link followed by /dashboard/profile.
3. Open the test link followed by /dashboard/announcements.
4. Look at the address after each try.</t>
  </si>
  <si>
    <t>Every address brings you back to /change-password. No other page opens and no menu is usable until the password is saved.</t>
  </si>
  <si>
    <t>GEN-027</t>
  </si>
  <si>
    <t>New password form checks each field</t>
  </si>
  <si>
    <t>The test copy is running and you have its link. You are on the "Choose a new password" screen.</t>
  </si>
  <si>
    <t xml:space="preserve">1. Choose Save new password with all fields empty.
2. Fill Current password, then type a 5-character new password and choose Save.
3. Type a valid new password but a different Confirm new password, then choose Save.
4. Type a wrong Current password with a valid new password and confirmation, then choose Save.</t>
  </si>
  <si>
    <t>Each try shows a message under the field and the cursor jumps to the first field with a problem: "Enter your current password.", "Use at least 8 characters.", "The confirmation does not match.", and a message that the current password is incorrect. Nothing is saved.</t>
  </si>
  <si>
    <t>GEN-028</t>
  </si>
  <si>
    <t>Saving a new password works and the old one stops working</t>
  </si>
  <si>
    <t>The test copy is running and you have its link. A forced-change throwaway account. Do not use a shared demo account. You must remember the new password yourself; do not write it in this sheet.</t>
  </si>
  <si>
    <t xml:space="preserve">1. Enter the temporary password as Current password.
2. Enter a new password of at least 8 characters, different from the temporary one, in both new fields.
3. Choose Save new password.
4. Sign out, then sign in with the temporary password.
5. Sign in with the new password.</t>
  </si>
  <si>
    <t>After saving you land on your dashboard home. Signing in with the temporary password is refused. Signing in with the new password works and does not ask for a change again.</t>
  </si>
  <si>
    <t>GEN-029</t>
  </si>
  <si>
    <t>Forgot password request is accepted but no email arrives in the test copy</t>
  </si>
  <si>
    <t>The test copy is running and you have its link. You are signed out (no one is signed in on this browser). Email is switched off in the test copy, so reset emails are only written to the server log.</t>
  </si>
  <si>
    <t xml:space="preserve">1. On the sign-in page choose Forgot password? and read the page.
2. Type the Student School ID 2100142 and the email address on that account, then choose Send reset link.
3. Wait five minutes and check that inbox and its spam folder.
4. Go back and try School ID 12345678 with the email nobody@example.com.</t>
  </si>
  <si>
    <t>The "Reset your password" page has School ID / ID number and Email address fields, a Send reset link button and Back to login. After sending, the page changes to "Check your email" and says the instructions were sent to the address you typed. No email arrives, because email is off in the test copy. This is expected. The unknown account shows the very same "Check your email" screen, so the page never says whether an account exists. Send another email and Back to login both work. To get a password reset, ask the SAO.</t>
  </si>
  <si>
    <t>GEN-030</t>
  </si>
  <si>
    <t>Forgot password checks an empty or badly typed form</t>
  </si>
  <si>
    <t xml:space="preserve">1. Open the Reset your password page.
2. Choose Send reset link with both fields empty.
3. Type a School ID and the text "not-an-email" as the email.
4. Choose Send reset link again.</t>
  </si>
  <si>
    <t>A red message shows and no "Check your email" screen appears.</t>
  </si>
  <si>
    <t>VERIFY: the wording. A message that mentions "organization id" would be a wording problem to report because students do not know that term.</t>
  </si>
  <si>
    <t>GEN-031</t>
  </si>
  <si>
    <t>A reset link that is missing parts or has a bad token</t>
  </si>
  <si>
    <t xml:space="preserve">1. Open the test link followed by /reset-password with nothing after it.
2. Read the page.
3. Then open the test link followed by /reset-password?organization_id=1&amp;email=a@b.com&amp;token=wrong.
4. Choose Request a new link.</t>
  </si>
  <si>
    <t>The first page shows "This reset link isn't valid" with "This reset link is missing information it needs. Request a new one below." The second shows the same title with "Password reset token is invalid or expired." or the plain default text. Request a new link opens the Reset your password page.</t>
  </si>
  <si>
    <t>GEN-032</t>
  </si>
  <si>
    <t>Student opens pages of other roles by address</t>
  </si>
  <si>
    <t xml:space="preserve">1. Open the test link followed by /dashboard/admin.
2. Open /dashboard/officer, /dashboard/admin/users and /dashboard/events/check-in.
3. Open /dashboard/finance/financial-ledger and /dashboard/merchandise/manage-orders.
4. Open /dashboard/super-admin/agency and /dashboard/super-admin/organizations.
5. Open /dashboard/department-head/organizations and /dashboard/department-head/approvals.</t>
  </si>
  <si>
    <t>Every address ends on the student home (/dashboard/student). No page content of the other role flashes and no 403 page shows.</t>
  </si>
  <si>
    <t>GEN-033</t>
  </si>
  <si>
    <t>SBO Officer opens pages of other roles by address</t>
  </si>
  <si>
    <t>The test copy is running and you have its link. Signed in as the SBO Officer demo account 900004.</t>
  </si>
  <si>
    <t xml:space="preserve">1. Open /dashboard/admin, /dashboard/admin/positions and /dashboard/admin/programs-sections.
2. Open /dashboard/audit-logs, /dashboard/approvals and /dashboard/compliance.
3. Open /dashboard/events/manage-events, /dashboard/finance/collections, /dashboard/merchandise/manage-inventory and /dashboard/tasks/task-board.
4. Open /dashboard/student, /dashboard/my-grievances and /dashboard/my-clearance.
5. Open /dashboard/super-admin/compliance and /dashboard/department-head/approvals.</t>
  </si>
  <si>
    <t>Every address ends on the officer home (/dashboard/officer).</t>
  </si>
  <si>
    <t>GEN-034</t>
  </si>
  <si>
    <t>Admin opens pages of other roles by address</t>
  </si>
  <si>
    <t xml:space="preserve">1. Open /dashboard/super-admin, /dashboard/super-admin/admins and /dashboard/super-admin/academic-years.
2. Open /dashboard/department-head and /dashboard/department-head/organizations.
3. Open /dashboard/officer, /dashboard/elections/manage-voters and /dashboard/tasks/assigned-tasks.
4. Open /dashboard/student, /dashboard/my-grievances and /dashboard/my-clearance.</t>
  </si>
  <si>
    <t>Every address ends on the Admin home (/dashboard/admin).</t>
  </si>
  <si>
    <t>GEN-035</t>
  </si>
  <si>
    <t>Department Head opens pages of other roles by address, and is turned away from voting and the store</t>
  </si>
  <si>
    <t>The test copy is running and you have its link. Signed in as the Department Head demo account 940001.</t>
  </si>
  <si>
    <t xml:space="preserve">1. Open /dashboard/admin, /dashboard/officer and /dashboard/admin/users.
2. Open /dashboard/student, /dashboard/my-clearance and /dashboard/super-admin/organizations.
3. Open /dashboard/elections/cast-vote and /elections/1/vote.
4. Open /dashboard/merchandise/order-merchandise, /dashboard/merchandise/my-orders and /dashboard/merchandise/manage-orders.</t>
  </si>
  <si>
    <t>Every address ends on the Department Head home (/dashboard/department-head). The sidebar for this role has no Vote or Store items.</t>
  </si>
  <si>
    <t>GEN-036</t>
  </si>
  <si>
    <t>SAO opens organization-level pages by address</t>
  </si>
  <si>
    <t>The test copy is running and you have its link. Signed in as the SAO account 990001.</t>
  </si>
  <si>
    <t xml:space="preserve">1. Open /dashboard/admin and /dashboard/officer.
2. Open /dashboard/student and /dashboard/department-head.
3. Open /dashboard/events/check-in, /dashboard/finance/financial-ledger and /dashboard/approvals.
4. Open /dashboard/elections/election-results and /dashboard/announcements/view-announcements.</t>
  </si>
  <si>
    <t>Every address ends on the SAO home (/dashboard/super-admin). Only Study objectives and Profile are shared pages that open for the SAO.</t>
  </si>
  <si>
    <t>GEN-037</t>
  </si>
  <si>
    <t>Menu pages with no role index land on the right first page</t>
  </si>
  <si>
    <t>The test copy is running and you have its link. Demo accounts and their passwords are in section 2 of the member testing guide (the SAO password comes from the person running the demo). You will try several roles one after another.</t>
  </si>
  <si>
    <t xml:space="preserve">1. As the Admin, open /dashboard/events, /dashboard/finance and /dashboard/tasks. Note where each lands.
2. As the Student, open /dashboard/events, /dashboard/finance and /dashboard/merchandise.
3. As the SBO Officer, open /dashboard/events and /dashboard/elections.
4. As the Department Head, open /dashboard/finance and /dashboard/elections.</t>
  </si>
  <si>
    <t>Admin: events/manage-events, finance/financial-ledger, tasks/task-board. Student: events/activity-calendar, finance/personal-receipts, merchandise/order-merchandise. SBO Officer: events/check-in and elections/manage-candidates. Department Head: finance/financial-ledger and elections/election-results. None ends on an error.</t>
  </si>
  <si>
    <t>GEN-038</t>
  </si>
  <si>
    <t>Old addresses forward to the new pages</t>
  </si>
  <si>
    <t xml:space="preserve">1. As any signed-in role, open /dashboard/settings and /dashboard/organization.
2. As the Admin, open /dashboard/events/activity-calendar and /dashboard/tasks/create-task.
3. As the Student, open /dashboard/merchandise/claim-tokens.
4. As the Department Head, open /dashboard/approvals.
5. As the SAO, open /dashboard/super-admin/financial-reports.</t>
  </si>
  <si>
    <t>Settings and Organization go to /dashboard/profile. The Admin calendar goes to manage-events with the calendar view, and create-task goes to the task board with the new-task form. The Student goes to My orders. The Department Head goes to /dashboard/department-head/approvals. The SAO goes to Compliance on the financial tab.</t>
  </si>
  <si>
    <t>GEN-039</t>
  </si>
  <si>
    <t>The voting booth address is only for Admin, Officer and Student</t>
  </si>
  <si>
    <t>The test copy is running and you have its link. Demo accounts and their passwords are in section 2 of the member testing guide (the SAO password comes from the person running the demo). An election that is open for voting.</t>
  </si>
  <si>
    <t xml:space="preserve">1. As the Student, open the Vote page and start voting so the address shows /elections/&lt;number&gt;/vote.
2. Copy that address and sign out.
3. Sign in as the Department Head and paste the address.
4. Sign in as the SAO and paste the address.</t>
  </si>
  <si>
    <t>The Student sees the voting booth. The Department Head and the SAO are sent to their own home page.</t>
  </si>
  <si>
    <t>GEN-040</t>
  </si>
  <si>
    <t>The sidebar shows only the pages the role may open</t>
  </si>
  <si>
    <t>The test copy is running and you have its link. Demo accounts and their passwords are in section 2 of the member testing guide (the SAO password comes from the person running the demo). You will compare two roles.</t>
  </si>
  <si>
    <t xml:space="preserve">1. Sign in as the Student and write down every sidebar item.
2. Sign in as the Admin and write down every sidebar item.
3. Compare the two lists with the role lists in section 4 of the member testing guide.</t>
  </si>
  <si>
    <t>Each role sees only its own items. The Student has no Finance ledger, no Approvals and no Members group. The Admin has no SAO items. No item opens a page that bounces you back home.</t>
  </si>
  <si>
    <t>GEN-041</t>
  </si>
  <si>
    <t>Another organization's record cannot be opened by changing the number in the address</t>
  </si>
  <si>
    <t>The test copy is running and you have its link. Signed in as the Admin demo account 900001. You know the address of a record of another organization (ask the demo owner, for example an event or task of JPIA-CBE).</t>
  </si>
  <si>
    <t xml:space="preserve">1. Open the Events page (manage-events) and note the address pattern with ?record=&lt;number&gt;.
2. Replace the number with the number of an event that belongs to another organization.
3. Press Enter.</t>
  </si>
  <si>
    <t>The record does not open and no data of the other organization shows. You see a not-found or empty result, never the other organization's details.</t>
  </si>
  <si>
    <t>GEN-042</t>
  </si>
  <si>
    <t>Responsive</t>
  </si>
  <si>
    <t>Phone: sign-in page is one column</t>
  </si>
  <si>
    <t>The test copy is running and you have its link. You are signed out (no one is signed in on this browser). Phone, or a browser window narrower than 640 px.</t>
  </si>
  <si>
    <t xml:space="preserve">1. Open the sign-in page on the phone in portrait.
2. Look at the top part.
3. Scroll down to the form.
4. Try to drag the page sideways.</t>
  </si>
  <si>
    <t>The dark panel with the logo and the line "One AI-assisted workspace for your student organization." is stacked above the white form. The page does not move sideways. Fields and the Sign in button are easy to tap.</t>
  </si>
  <si>
    <t>GEN-043</t>
  </si>
  <si>
    <t>Phone: dashboard pages have no sideways scroll</t>
  </si>
  <si>
    <t>The test copy is running and you have its link. Demo accounts and their passwords are in section 2 of the member testing guide (the SAO password comes from the person running the demo). Phone width 390 px. Test with the Student and the Admin.</t>
  </si>
  <si>
    <t xml:space="preserve">1. Sign in on the phone.
2. Open the home page and scroll to the bottom.
3. Open two list pages such as Events and Statement of account (Student) or People and Ledger (Admin).
4. Try to drag each page sideways.</t>
  </si>
  <si>
    <t>Cards are in one column. The page body never scrolls sideways. A wide table scrolls inside its own box only. Content padding is small (about 14 px) and text is readable without zoom.</t>
  </si>
  <si>
    <t>GEN-044</t>
  </si>
  <si>
    <t>Phone: the menu drawer opens, closes and keeps the page still</t>
  </si>
  <si>
    <t>The test copy is running and you have its link. Signed in as the Student demo account 2100142. Phone.</t>
  </si>
  <si>
    <t xml:space="preserve">1. Tap the menu icon (named "Open menu").
2. Try to scroll the page behind the drawer.
3. Tap the dimmed area to close.
4. Open the menu again, tap the X (named "Close menu").
5. Open it again and tap a page.</t>
  </si>
  <si>
    <t>The drawer slides in from the left over a dimmed page and the page behind does not scroll. The dimmed area and the X both close it. Tapping a page opens that page and closes the drawer.</t>
  </si>
  <si>
    <t>GEN-045</t>
  </si>
  <si>
    <t>Phone: touch targets are big enough and top bar panels fit</t>
  </si>
  <si>
    <t xml:space="preserve">1. Look at the top bar buttons: menu, Go to page, cart, bell and your name. Tap each one with your thumb.
2. On a form page, tap the main button and one text field.
3. Tap the bell and check the panel is inside the screen on both sides and below the top bar.
4. Tap your name at the top right and scroll inside the panel if it is long.</t>
  </si>
  <si>
    <t>Buttons and fields are about 42 px or taller. You hit each one on the first try. Panels open just below the top bar with a small margin left and right, nothing is cut off, a long panel scrolls inside itself, and only one panel is open at a time.</t>
  </si>
  <si>
    <t>GEN-046</t>
  </si>
  <si>
    <t>Phone: forms and dialogs can be completed</t>
  </si>
  <si>
    <t>The test copy is running and you have its link. Signed in as the Admin demo account 900001. Phone.</t>
  </si>
  <si>
    <t xml:space="preserve">1. Open Updates, then Announcements, then choose to create one.
2. Tap the Title field so the keyboard opens.
3. Scroll down to the buttons.
4. Open any confirmation box, for example choose Logout.</t>
  </si>
  <si>
    <t>You can reach the Save or Publish button while the keyboard is open. The confirmation box is almost full width with a small margin and its buttons are easy to tap.</t>
  </si>
  <si>
    <t>GEN-047</t>
  </si>
  <si>
    <t>Tablet width: menu is a drawer and cards use two columns</t>
  </si>
  <si>
    <t>The test copy is running and you have its link. Signed in as the Student demo account 2100142. Tablet, or a window about 800 px wide.</t>
  </si>
  <si>
    <t xml:space="preserve">1. Sign in at about 800 px wide.
2. Look for a sidebar.
3. Open the menu icon.
4. Open the home page and look at the cards.</t>
  </si>
  <si>
    <t>Below 1024 px the sidebar is hidden behind the menu icon and opens as a drawer. The cards use two columns where there is room. Nothing is cut off at the right edge.</t>
  </si>
  <si>
    <t>GEN-048</t>
  </si>
  <si>
    <t>Laptop: fixed sidebar and top bar</t>
  </si>
  <si>
    <t>The test copy is running and you have its link. Signed in as the Admin demo account 900001. Laptop, window wider than 1024 px.</t>
  </si>
  <si>
    <t xml:space="preserve">1. Sign in on the laptop.
2. Look at the left side of the page.
3. Scroll a long page.
4. Look at the top bar.</t>
  </si>
  <si>
    <t>A dark blue sidebar about 260 px wide stays fixed on the left. The white top bar (about 64 to 72 px high) shows the search button, bell and your name. There is no menu icon. Only the page content scrolls.</t>
  </si>
  <si>
    <t>GEN-049</t>
  </si>
  <si>
    <t>Laptop: sidebar collapses to a narrow rail and remembers it</t>
  </si>
  <si>
    <t>The test copy is running and you have its link. Signed in as the Admin demo account 900001. Laptop.</t>
  </si>
  <si>
    <t xml:space="preserve">1. Choose the Collapse sidebar button next to the logo.
2. Hover over an icon and read its name.
3. Choose a group icon such as Finance and read the small menu that opens.
4. Reload the page.
5. Choose Expand sidebar.</t>
  </si>
  <si>
    <t>The sidebar shrinks to a rail of icons (about 72 px). Icons have names on hover and for screen readers. A group opens a small list of its pages beside the rail. After reload the rail stays narrow. Expand sidebar restores the full width.</t>
  </si>
  <si>
    <t>GEN-050</t>
  </si>
  <si>
    <t>Look and feel: HIUSA logo, Poppins font and colours</t>
  </si>
  <si>
    <t>The test copy is running and you have its link. The device is online (the font comes from the internet). Compare colours with the Design System table in CLAUDE.md.</t>
  </si>
  <si>
    <t xml:space="preserve">1. On the sign-in page find the logo in the dark panel. Sign in and find it at the top of the sidebar (laptop) or beside the menu icon (phone).
2. Look at the letters of a page title and a table. Optional: in DevTools read the Computed font-family of a text element.
3. Look at the sidebar, the page background and the main buttons.
4. Look at green, amber and red status badges and at a delete or logout action.</t>
  </si>
  <si>
    <t>The logo is sharp, not stretched and not cut off. All text is Poppins (a rounded geometric style), not Arial or the plain system font; offline devices show a fallback font, which is expected. The sidebar is deep navy, the page background is a very light blue, main buttons are blue with white text. Paid or approved is green, pending is amber, failed or delete is red. No random extra colours.</t>
  </si>
  <si>
    <t>VERIFY: the exact blue on buttons, because some screens use a slightly darker blue than the guide value.</t>
  </si>
  <si>
    <t>GEN-051</t>
  </si>
  <si>
    <t>Browser support</t>
  </si>
  <si>
    <t>Chrome and Edge (desktop)</t>
  </si>
  <si>
    <t>The test copy is running and you have its link. Latest Chrome and latest Edge on Windows.</t>
  </si>
  <si>
    <t xml:space="preserve">1. In Chrome, sign in as the Student and open Events, Store and Announcements.
2. Open the bell and the account menu.
3. Repeat the same steps in Edge.</t>
  </si>
  <si>
    <t>Both browsers show the same layout and colours, and every step works the same way. Report only differences you can see on the screen.</t>
  </si>
  <si>
    <t>GEN-052</t>
  </si>
  <si>
    <t>Firefox (desktop)</t>
  </si>
  <si>
    <t>The test copy is running and you have its link. Latest Firefox.</t>
  </si>
  <si>
    <t xml:space="preserve">1. Open the sign-in page in Firefox and sign in as the Student.
2. Open three pages and the bell.
3. Open the menu on a narrow window.
4. Fill and submit one form, for example a grievance draft or profile edit.</t>
  </si>
  <si>
    <t>Pages look and work like in Chrome. Date pickers, dropdowns and the focus rings work. Nothing is cut off.</t>
  </si>
  <si>
    <t>GEN-053</t>
  </si>
  <si>
    <t>Safari (Mac or iPhone) and Chrome on Android</t>
  </si>
  <si>
    <t>The test copy is running and you have its link. Safari on a Mac or an iPhone, and Chrome on an Android phone.</t>
  </si>
  <si>
    <t xml:space="preserve">1. Open the sign-in page in Safari and sign in as the Student.
2. Open the menu drawer (iPhone) or the sidebar (Mac) and a page with a date field and one with a file upload.
3. Repeat on the Android phone in Chrome and rotate the phone once.</t>
  </si>
  <si>
    <t>The page is not cut off by the browser bars. The drawer, date fields and file choosers work (the file picker offers the camera or gallery on phones). Text is sharp and Poppins loads. There is no sideways scroll.</t>
  </si>
  <si>
    <t>GEN-054</t>
  </si>
  <si>
    <t>The unread badge shows the number of new notifications</t>
  </si>
  <si>
    <t>The test copy is running and you have its link. An account with unread notifications. Ask another role to do an action that notifies you (for example, the Admin approves something or posts an announcement).</t>
  </si>
  <si>
    <t xml:space="preserve">1. Sign in as the account that should be notified.
2. Look at the bell badge.
3. Open the panel and read the "N new" tag next to the title.
4. Compare the two numbers with the highlighted rows.</t>
  </si>
  <si>
    <t>The bell shows a number badge. The panel shows the same number in the tag "N new". Unread rows have a blue bar on the left and a light blue background. Read rows look grey. If there are more than 9, the badge shows 9+.</t>
  </si>
  <si>
    <t>GEN-055</t>
  </si>
  <si>
    <t>The panel lists the five latest notifications</t>
  </si>
  <si>
    <t>The test copy is running and you have its link. An account with more than five notifications.</t>
  </si>
  <si>
    <t xml:space="preserve">1. Open the bell panel.
2. Count the rows.
3. Read the title, the message and the time on one row (for example "5m ago").
4. Scroll inside the panel.</t>
  </si>
  <si>
    <t>At most five notifications show, newest first. Each row has an icon, a bold title, up to two lines of message and a time like "just now", "5m ago", "3h ago" or "2d ago".</t>
  </si>
  <si>
    <t>GEN-056</t>
  </si>
  <si>
    <t>Clicking a notification opens the right page and marks it read</t>
  </si>
  <si>
    <t>The test copy is running and you have its link. A notification that points to something, for example a new announcement, an approval, an order update or a task. Test with the matching role.</t>
  </si>
  <si>
    <t xml:space="preserve">1. Open the bell panel and note the badge number.
2. Choose one unread notification.
3. Check which page opens.
4. Open the bell again.</t>
  </si>
  <si>
    <t>The panel closes and the page about that item opens (for example Announcements for an announcement, Approvals for an approval, My orders for an order). The row now looks read and the badge number is one lower.</t>
  </si>
  <si>
    <t>GEN-057</t>
  </si>
  <si>
    <t>A notification with no page shows its details in the panel</t>
  </si>
  <si>
    <t>The test copy is running and you have its link. A notification that has no link for your role (for example a general message).</t>
  </si>
  <si>
    <t xml:space="preserve">1. Open the bell panel.
2. Choose that notification.
3. Read the detail view.
4. Choose Back to notifications.</t>
  </si>
  <si>
    <t>The panel stays open and shows the full title, the full message and the time. If a related page exists, the button "Open related record" shows; otherwise no button shows. Back to notifications returns to the list. You are never sent to a page you cannot open.</t>
  </si>
  <si>
    <t>GEN-058</t>
  </si>
  <si>
    <t>Mark all as read</t>
  </si>
  <si>
    <t>The test copy is running and you have its link. An account with at least two unread notifications.</t>
  </si>
  <si>
    <t xml:space="preserve">1. Open the bell panel.
2. Choose Mark all as read.
3. Look at the badge, the tag and the rows.
4. Reload the page.</t>
  </si>
  <si>
    <t>A message "All notifications marked as read." appears. The badge and the "N new" tag disappear, the button disappears and all rows look read. After reload they are still read.</t>
  </si>
  <si>
    <t>GEN-059</t>
  </si>
  <si>
    <t>A new notification shows up after the next page load</t>
  </si>
  <si>
    <t>The test copy is running and you have its link. Two roles signed in on two browsers. Role A will do something that notifies role B.</t>
  </si>
  <si>
    <t xml:space="preserve">1. As role B, note the bell badge.
2. As role A, do an action that notifies role B (post an announcement or approve a request).
3. As role B, open another page or reload.
4. Look at the badge.</t>
  </si>
  <si>
    <t>After reload the badge goes up and the new notification is at the top of the list.</t>
  </si>
  <si>
    <t>VERIFY: whether the badge updates by itself without a reload. If it does not, report it as wording or behaviour to confirm.</t>
  </si>
  <si>
    <t>GEN-060</t>
  </si>
  <si>
    <t>The bell works with the keyboard</t>
  </si>
  <si>
    <t>The test copy is running and you have its link. Signed in as the Student demo account 2100142. Laptop.</t>
  </si>
  <si>
    <t xml:space="preserve">1. Press Tab until the bell has a visible outline.
2. Press Enter.
3. Press Tab to move into the list and press Enter on a row.
4. Reopen the bell and press Tab to Mark all as read.</t>
  </si>
  <si>
    <t>The bell opens with Enter. Rows and Mark all as read can be reached with Tab and used with Enter. The bell is announced as "Notifications".</t>
  </si>
  <si>
    <t>GEN-061</t>
  </si>
  <si>
    <t>Accessibility</t>
  </si>
  <si>
    <t>Keyboard use: Tab order and visible focus outline</t>
  </si>
  <si>
    <t>The test copy is running and you have its link. Laptop. Do not use the mouse for the first step.</t>
  </si>
  <si>
    <t xml:space="preserve">1. On the sign-in page press Tab to reach School ID, Password, Show password, Forgot password? and Sign in, then press Enter to sign in.
2. Press Tab repeatedly across the top bar.
3. Keep pressing Tab through the sidebar items.
4. Keep pressing Tab through the buttons, links and fields of one page. Note any item where you cannot see where the focus is.</t>
  </si>
  <si>
    <t>The highlight moves in a sensible order and you can sign in without the mouse. Every button, link, field and menu item shows a clear outline or ring when it has focus. You never lose track of where you are.</t>
  </si>
  <si>
    <t>GEN-062</t>
  </si>
  <si>
    <t>Every field has a visible label</t>
  </si>
  <si>
    <t xml:space="preserve">1. Open the sign-in page (signed out) and the Change password form in Profile.
2. Open one create form such as Create announcement.
3. Look at each field and see if a label is shown above it, not only a grey hint inside.</t>
  </si>
  <si>
    <t>Every field has its label above it ("School ID / ID Number", "Password", "Current password", "Title" and so on). Hint text inside the field is extra, not the only label.</t>
  </si>
  <si>
    <t>GEN-063</t>
  </si>
  <si>
    <t>Icon-only buttons have names</t>
  </si>
  <si>
    <t>The test copy is running and you have its link. Signed in as the Student demo account 2100142. A screen reader (NVDA on Windows, VoiceOver on Mac or iPhone) or the browser Accessibility panel.</t>
  </si>
  <si>
    <t xml:space="preserve">1. Move to each icon button: menu, Go to page, Cart, Notifications, account menu, Show password, Collapse sidebar.
2. Listen to or read the name for each.
3. Hover a collapsed sidebar icon and read its tooltip.</t>
  </si>
  <si>
    <t>Each icon button has a name that says what it does, for example "Open menu", "Go to page", "Cart", "Notifications", "Account menu for &lt;your name&gt;", "Show password", "Collapse sidebar". No button is read as just "button".</t>
  </si>
  <si>
    <t>GEN-064</t>
  </si>
  <si>
    <t>Status is shown as text, not only as colour</t>
  </si>
  <si>
    <t>The test copy is running and you have its link. Signed in as the Admin demo account 900001. A page with status badges such as Events or Approvals.</t>
  </si>
  <si>
    <t xml:space="preserve">1. Open the page with status badges.
2. Turn on a grayscale filter (Windows: Settings, Accessibility, Colour filters, Grayscale).
3. Read every status.
4. Turn the filter off.</t>
  </si>
  <si>
    <t>Every status is written as a word (for example Paid, Pending, Approved, Rejected, Claimed). You can tell them apart with no colour.</t>
  </si>
  <si>
    <t>GEN-065</t>
  </si>
  <si>
    <t>Text contrast is strong enough</t>
  </si>
  <si>
    <t>The test copy is running and you have its link. Signed in as the Student demo account 2100142. A contrast checker such as the one in browser DevTools, or the WebAIM Contrast Checker.</t>
  </si>
  <si>
    <t xml:space="preserve">1. Check body text on white and on the light blue page background.
2. Check the grey helper text and the small time text in the bell list.
3. Check white text on the blue buttons and on the navy sidebar.
4. Check red error text on its pink box.</t>
  </si>
  <si>
    <t>Normal text reaches at least 4.5 to 1. Large text reaches at least 3 to 1.</t>
  </si>
  <si>
    <t>VERIFY: the small grey time text in the bell panel (for example "5m ago") may look very light and below this level. Report it with the measured value if so.</t>
  </si>
  <si>
    <t>GEN-066</t>
  </si>
  <si>
    <t>Dialogs keep the keyboard inside and close with Escape</t>
  </si>
  <si>
    <t xml:space="preserve">1. Choose Logout so the "Log Out" box opens.
2. Press Tab several times and watch where the focus goes.
3. Press Escape.
4. Notice where the focus is now.</t>
  </si>
  <si>
    <t>Focus stays inside the box while it is open. Escape closes it and nothing is lost. Focus returns to a sensible place, not the top of the page.</t>
  </si>
  <si>
    <t>GEN-067</t>
  </si>
  <si>
    <t>Errors are announced and easy to find</t>
  </si>
  <si>
    <t xml:space="preserve">1. On the sign-in page submit a wrong password.
2. Look at where the error appears and listen with a screen reader if you have one.
3. On the Change password form (Profile) submit an empty form.</t>
  </si>
  <si>
    <t>The sign-in error appears in a red box in the form and is read out by a screen reader (it has the alert role). On the Change password form the cursor jumps to the first field with a problem and each message sits under its field.</t>
  </si>
  <si>
    <t>GEN-068</t>
  </si>
  <si>
    <t>Go to page search works with the keyboard</t>
  </si>
  <si>
    <t xml:space="preserve">1. Press Ctrl and K.
2. Type "task".
3. Use the Down arrow to move through results.
4. Press Enter on one, then reopen and press Escape.
5. Type "zzzz" and read the result.</t>
  </si>
  <si>
    <t>The box "Search pages" opens with the cursor in it. Arrow keys move through the list. Enter opens the page. Escape closes the box. For no match it says: No pages match "zzzz".</t>
  </si>
  <si>
    <t>GEN-069</t>
  </si>
  <si>
    <t>Errors</t>
  </si>
  <si>
    <t>Slow network shows loading placeholders, not a blank screen</t>
  </si>
  <si>
    <t>The test copy is running and you have its link. Signed in as the Student demo account 2100142. Laptop. In DevTools set Network throttling to Slow 3G.</t>
  </si>
  <si>
    <t xml:space="preserve">1. Set throttling to Slow 3G.
2. Open a page that has not been opened yet, for example Statement of account.
3. Watch the screen while it loads.
4. Set throttling back to No throttling.</t>
  </si>
  <si>
    <t>Grey pulsing blocks (a loading skeleton) show while the page loads, with the sidebar and top bar already in place. The screen is never blank white. The page fills in when data arrives. A screen reader hears "Loading page".</t>
  </si>
  <si>
    <t>GEN-070</t>
  </si>
  <si>
    <t>Offline: sign-in does not crash</t>
  </si>
  <si>
    <t>The test copy is running and you have its link. You are signed out (no one is signed in on this browser). Laptop. In DevTools set Network to Offline.</t>
  </si>
  <si>
    <t xml:space="preserve">1. Set Network to Offline.
2. Fill in a correct School ID and password.
3. Choose Sign in.
4. Set Network to Online and try again.</t>
  </si>
  <si>
    <t>You stay on the sign-in page with a red message and no crash.</t>
  </si>
  <si>
    <t>VERIFY: the message may say "That school ID and password did not match..." even though the real problem is no connection. If so, report it as misleading wording. Signing in works after going online.</t>
  </si>
  <si>
    <t>GEN-071</t>
  </si>
  <si>
    <t>Offline: a dashboard page shows a plain message and Try again</t>
  </si>
  <si>
    <t xml:space="preserve">1. On the student home, set Network to Offline.
2. Reload a page that needs data, or choose another menu item.
3. Read the message.
4. Set Network to Online and choose Try again.</t>
  </si>
  <si>
    <t>A plain message shows (not code, not a stack trace) and a Try again button where the page offers one. After going online the data loads. The sidebar and top bar stay usable.</t>
  </si>
  <si>
    <t>GEN-072</t>
  </si>
  <si>
    <t>Server problem shows a plain message, not technical text</t>
  </si>
  <si>
    <t>The test copy is running and you have its link. Only on a LAN or development copy where the demo owner can make the server fail on purpose. Do not do this on the public link.</t>
  </si>
  <si>
    <t xml:space="preserve">1. Ask the demo owner to make the server return an error.
2. Open a page and trigger the action that fails.
3. Read the message or toast.</t>
  </si>
  <si>
    <t>A plain sentence shows such as "Something went wrong. Please try again." or, for a stopped service, "This service is temporarily unavailable. Please wait a moment and try again." It never shows SQL words, file paths, "Stack trace" or "vendor".</t>
  </si>
  <si>
    <t>GEN-073</t>
  </si>
  <si>
    <t>Too many requests are met with a calm message and recover</t>
  </si>
  <si>
    <t xml:space="preserve">1. Press F5 fast and many times in a row (about 40 times within 30 seconds), on a data-heavy page.
2. Watch for a message or toast.
3. Stop and wait one minute.
4. Reload the page.</t>
  </si>
  <si>
    <t>If the limit is reached, a plain message appears, such as "Too many requests. Please try again in N seconds." or "Too many requests. Please wait a moment and try again." After a minute the page works again.</t>
  </si>
  <si>
    <t>VERIFY: whether you can reach the limit this way, since it allows 120 reads a minute.</t>
  </si>
  <si>
    <t>GEN-074</t>
  </si>
  <si>
    <t>Empty list and no matching result messages</t>
  </si>
  <si>
    <t xml:space="preserve">1. Open a list page such as People, Events or Orders.
2. Type a search text that matches nothing, such as "zzzzqq".
3. Read the result.
4. Choose Clear filters (if shown).
5. Open the bell on an account with no notifications.</t>
  </si>
  <si>
    <t>A friendly message shows, for example No results for "zzzzqq" with a Clear filters button. An empty first-use list says what is missing and offers one button to start. The bell says "No notifications yet". The cart says "Cart is empty". Nothing shows a blank gap.</t>
  </si>
  <si>
    <t>GEN-075</t>
  </si>
  <si>
    <t>Session ends cleanly when the sign-in is no longer valid</t>
  </si>
  <si>
    <t>The test copy is running and you have its link. Signed in as the Student demo account 2100142. Laptop. DevTools Application tab is open.</t>
  </si>
  <si>
    <t xml:space="preserve">1. Open Statement of account.
2. In Local Storage change auth_token to wrong text.
3. Choose another menu item (do not reload).</t>
  </si>
  <si>
    <t>The next request is refused and the app sends you to the sign-in page. No error box, no half-loaded page. After signing in again you can work as normal.</t>
  </si>
  <si>
    <t>GEN-076</t>
  </si>
  <si>
    <t>Data safety</t>
  </si>
  <si>
    <t>Protected documents need a sign-in</t>
  </si>
  <si>
    <t>The test copy is running and you have its link. Signed in as the Department Head demo account 940001. A registration with uploaded documents exists (or any page with an Open document link).</t>
  </si>
  <si>
    <t xml:space="preserve">1. Open Organizations and a registration, then choose Open on a document. It opens in a new tab.
2. Copy that tab's address.
3. Open a private window and paste the address.
4. Optional: ask the demo owner for the API address of one document and paste it in the private window.</t>
  </si>
  <si>
    <t>The document opens in a new tab for you. In the private window the pasted address does not show the document (the blob link only works in the original browser tab). The API address shows only a short message such as {"message":"Unauthenticated."}, with no file, stack trace or file path. No document content is shown to a person who is not signed in.</t>
  </si>
  <si>
    <t>VERIFY: the API address format with the demo owner.</t>
  </si>
  <si>
    <t>GEN-077</t>
  </si>
  <si>
    <t>Image upload size limits (5 MB and 2 MB)</t>
  </si>
  <si>
    <t>The test copy is running and you have its link. Signed in as the Admin demo account 900001. Four image files: about 4 MB, 6 MB, 1.5 MB and 3 MB (.jpg or .png).</t>
  </si>
  <si>
    <t xml:space="preserve">1. Open Create announcement (5 MB limit). Choose the 4 MB image and save.
2. Edit again, choose the 6 MB image and save. Read the message.
3. Open a page that takes a candidate or member photo (2 MB limit). Choose the 1.5 MB image and save.
4. Choose the 3 MB image and save. Read the message.</t>
  </si>
  <si>
    <t>The 4 MB and 1.5 MB images are accepted. The 6 MB and 3 MB images are refused with a plain message about size and nothing is saved (the old photo stays).</t>
  </si>
  <si>
    <t>VERIFY: the exact wording, which may be a raw rule such as "must not be greater than 5120 kilobytes".</t>
  </si>
  <si>
    <t>GEN-078</t>
  </si>
  <si>
    <t>Document upload: PDF only and 10 MB limit</t>
  </si>
  <si>
    <t>The test copy is running and you have its link. Signed in as the Department Head demo account 940001. Four files: a normal PDF under 10 MB, a PDF over 10 MB, a .docx or .png, and a harmless text file renamed from notes.txt to notes.pdf. Registration documents accept PDF only.</t>
  </si>
  <si>
    <t xml:space="preserve">1. Open Organizations and choose Register an organization.
2. Add the normal PDF to a requirement.
3. Add the large PDF, the .docx and the renamed file to three other requirements.
4. Submit and read the messages.</t>
  </si>
  <si>
    <t>The normal PDF is accepted. The large PDF, the .docx and the renamed file are refused with a message that names the requirement and the problem (size, or "must be a file of type: pdf"). The renamed file is refused because its real content is not a PDF. Nothing is saved with a refused file.</t>
  </si>
  <si>
    <t>GEN-079</t>
  </si>
  <si>
    <t>No raw errors or stack traces appear anywhere</t>
  </si>
  <si>
    <t xml:space="preserve">1. Submit three forms with missing or wrong data (empty required field, a letter in a number field, an impossible date).
2. Open a page using a wrong number in the address, such as ?record=999999.
3. Read every message shown.</t>
  </si>
  <si>
    <t>All messages are in plain sentences. The words SQLSTATE, Exception, Stack trace, vendor, .php, "Undefined" or any file path never appear.</t>
  </si>
  <si>
    <t>GEN-080</t>
  </si>
  <si>
    <t>HTML typed into a text field is shown as plain text</t>
  </si>
  <si>
    <t>The test copy is running and you have its link. Signed in as the Admin demo account 900001. Use throwaway titles and delete them afterwards.</t>
  </si>
  <si>
    <t xml:space="preserve">1. Open Create announcement.
2. Type &lt;b&gt;x&lt;/b&gt; in the Title and &lt;i&gt;y&lt;/i&gt; in the body, then save as a draft.
3. Open the saved announcement in the list and in the Feed.
4. Do the same in a task title and an event name.</t>
  </si>
  <si>
    <t>The text shows exactly as typed: &lt;b&gt;x&lt;/b&gt;, with the angle brackets, not as bold x. The same is true everywhere it appears (list, feed, bell, emails). Note: **text** in an announcement body is meant to show as bold; that is not a problem.</t>
  </si>
  <si>
    <t>GEN-081</t>
  </si>
  <si>
    <t>Script text typed into a field does nothing</t>
  </si>
  <si>
    <t>The test copy is running and you have its link. Signed in as the Admin demo account 900001. Use throwaway data.</t>
  </si>
  <si>
    <t xml:space="preserve">1. Type &lt;script&gt;alert(1)&lt;/script&gt; in an announcement title and a task title, then save.
2. Type &lt;img src=x onerror=alert(1)&gt; in a grievance or profile text field, then save.
3. Type &lt;script&gt;alert(1)&lt;/script&gt; in a search box.
4. Open the saved items and reload the pages.</t>
  </si>
  <si>
    <t>No pop-up appears at any point. The text shows as plain characters. Search shows no results or shows the text safely.</t>
  </si>
  <si>
    <t>GEN-082</t>
  </si>
  <si>
    <t>Double click on a save button does not make two records</t>
  </si>
  <si>
    <t>The test copy is running and you have its link. Signed in as the Admin demo account 900001. Unique throwaway titles such as DOUBLE TEST 1 and DOUBLE TEST 2.</t>
  </si>
  <si>
    <t xml:space="preserve">1. Open Create announcement, fill the Title (DOUBLE TEST 1) and body.
2. Double click the Save draft button quickly. Open Manage announcements and search DOUBLE TEST 1.
3. Set Network throttling to Slow 3G. Open the new task form and fill the title DOUBLE TEST 2.
4. Choose Save three times at once, wait, then search DOUBLE TEST 2 in the task list.</t>
  </si>
  <si>
    <t>Only one announcement and only one task exist. While saving, the button is disabled or shows a loading state. No "already exists" error shows for the extra clicks and nothing breaks.</t>
  </si>
  <si>
    <t>GEN-083</t>
  </si>
  <si>
    <t>AI helpers</t>
  </si>
  <si>
    <t>Announcement draft helper is present and needs a title first</t>
  </si>
  <si>
    <t>The test copy is running and you have its link. Signed in as the Admin demo account 900001. The AI helpers are switched OFF on the public copy; the case checks the screen only.</t>
  </si>
  <si>
    <t xml:space="preserve">1. Open Updates, then Announcements, then create a new announcement.
2. Find the box "Instructions for AI draft (optional)", the Generate Draft button and the drafts-left line.
3. Leave the Title empty and choose Generate Draft.</t>
  </si>
  <si>
    <t>The box, a Generate Draft button and a line such as "20 of 20 drafts left today" show. The usual Title and body fields work without the AI. With an empty title the message "Enter a title before generating a draft." appears and the drafts-left number does not go down.</t>
  </si>
  <si>
    <t>GEN-084</t>
  </si>
  <si>
    <t>Announcement draft when the AI service is not available</t>
  </si>
  <si>
    <t>The test copy is running and you have its link. Signed in as the Admin demo account 900001. The AI helper is off (as on the public copy).</t>
  </si>
  <si>
    <t xml:space="preserve">1. Type a Title such as "Intramurals schedule".
2. Choose Generate Draft.
3. Read the message.
4. Type your own text in the body and save as a draft.</t>
  </si>
  <si>
    <t>A plain message shows: "AI service is temporarily unavailable. Unable to generate the announcement draft." The page keeps working. You can still write the body by hand and save it.</t>
  </si>
  <si>
    <t>GEN-085</t>
  </si>
  <si>
    <t>Announcement draft when the AI service is available</t>
  </si>
  <si>
    <t>The test copy is running and you have its link. Signed in as the Admin demo account 900001. A LAN or development copy where the AI helper is turned on.</t>
  </si>
  <si>
    <t xml:space="preserve">1. Type a Title and add facts in Instructions for AI draft (date, venue, who must attend).
2. Choose Generate Draft.
3. Wait while it says "Generating draft...".
4. Read the text that fills the body.
5. Edit it and save as a draft.</t>
  </si>
  <si>
    <t>A short announcement appears in the body in plain text with no stars or markdown symbols. It uses only the facts you gave and marks missing details as not specified. You can edit it. The line about drafts left today goes down by one.</t>
  </si>
  <si>
    <t>GEN-086</t>
  </si>
  <si>
    <t>Task delegation shows a recommended officer</t>
  </si>
  <si>
    <t>The test copy is running and you have its link. Signed in as the Admin demo account 900001. At least two SBO officers exist (the fresh seed has four).</t>
  </si>
  <si>
    <t xml:space="preserve">1. Open Events and tasks, then Tasks and start a new task (or open AI delegation).
2. Type a task title and choose a category.
3. Choose the button that evaluates officers.
4. Read the ranking.</t>
  </si>
  <si>
    <t>A ranked list of officers shows, with one marked "Recommended". Reasons, the eligibility rules and a small badge for the engine used ("Python AI service" or "Local fallback engine") are shown. The helper does not assign the task by itself: you still choose the officer and create the task.</t>
  </si>
  <si>
    <t>GEN-087</t>
  </si>
  <si>
    <t>Task delegation still works when AI is off</t>
  </si>
  <si>
    <t>The test copy is running and you have its link. Signed in as the Admin demo account 900001. The AI service is off (as on the public copy).</t>
  </si>
  <si>
    <t xml:space="preserve">1. Open AI delegation or the new task form.
2. Type a task title and ask for the recommendation.
3. Read the result and the engine badge.</t>
  </si>
  <si>
    <t>A recommendation still appears, built by the built-in rules. The badge says "Local fallback engine". There is no error message and no long wait.</t>
  </si>
  <si>
    <t>GEN-088</t>
  </si>
  <si>
    <t>Forecast: only the Admin can generate one</t>
  </si>
  <si>
    <t>The test copy is running and you have its link. Signed in as the Admin demo account 900001. Then the SBO Officer and the Department Head. The ledger has several months of data.</t>
  </si>
  <si>
    <t xml:space="preserve">1. As the Admin open Finance, then Forecast.
2. Choose Generate forecast.
3. Wait for the chart.
4. Sign in as the Officer and then as the Department Head and open the same page.</t>
  </si>
  <si>
    <t>The Admin sees the button and a message "OLS forecast generated from the available transaction history." A forecast chart and figures appear. The Officer and the Department Head can read forecasts but do not see the Generate forecast button.</t>
  </si>
  <si>
    <t>GEN-089</t>
  </si>
  <si>
    <t>Forecast with too little history gives a helpful message</t>
  </si>
  <si>
    <t>The test copy is running and you have its link. Signed in as the Admin demo account 900001. An organization with very few ledger entries.</t>
  </si>
  <si>
    <t xml:space="preserve">1. Open Finance, then Forecast.
2. Read the empty-state text.
3. Choose Generate forecast.
4. Read the message.</t>
  </si>
  <si>
    <t>The page explains that a forecast needs a few months of ledger history. If the request is refused, a plain message such as "Failed to generate the forecast." (or a clearer reason from the server) shows. No technical text.</t>
  </si>
  <si>
    <t>GEN-090</t>
  </si>
  <si>
    <t>Forecast text when the AI explanation is unavailable</t>
  </si>
  <si>
    <t>The test copy is running and you have its link. Signed in as the Admin demo account 900001. The AI helper is off (as on the public copy). The ledger has enough history.</t>
  </si>
  <si>
    <t xml:space="preserve">1. Open Finance, then Forecast and choose Generate forecast.
2. Look at the forecast card.
3. Read any amber note.</t>
  </si>
  <si>
    <t>The forecast numbers and chart still appear. An amber note says the AI explanation was unavailable and that the forecast and risk calculations still completed. Nothing blocks the page.</t>
  </si>
  <si>
    <t>GEN-091</t>
  </si>
  <si>
    <t>Hierarchy</t>
  </si>
  <si>
    <t>The top bar shows who you are and where</t>
  </si>
  <si>
    <t>The test copy is running and you have its link. Demo accounts and their passwords are in section 2 of the member testing guide (the SAO password comes from the person running the demo). You will sign in as several roles.</t>
  </si>
  <si>
    <t xml:space="preserve">1. Sign in as the Admin 900001 and read the name area at the top right.
2. Sign in as the Department Head 940001 and read it again.
3. Sign in as the Student and read it again.
4. Look at the bottom of the sidebar for your name and role.</t>
  </si>
  <si>
    <t>The Admin line reads like "PSITS-CCS · Organization Admin". The Department Head line shows the college name and "Department Head". The Student line shows the organization and Student. The sidebar bottom shows your name and role too.</t>
  </si>
  <si>
    <t>GEN-092</t>
  </si>
  <si>
    <t>The school year and semester chip</t>
  </si>
  <si>
    <t>The test copy is running and you have its link. Signed in as the SAO account 990001. A fresh seed with no active semester, then one the SAO activates.</t>
  </si>
  <si>
    <t xml:space="preserve">1. Before a semester is active, look at the top bar of any role.
2. As the SAO, open Academic years, add a semester and choose Set as active.
3. Reload any page and look at the top bar.</t>
  </si>
  <si>
    <t>Before: no chip. After: a small chip such as "AY 2026-2027 · 1st Semester" shows in the top bar for every role.</t>
  </si>
  <si>
    <t>GEN-093</t>
  </si>
  <si>
    <t>A Department Head sees only their own college</t>
  </si>
  <si>
    <t>The test copy is running and you have its link. Signed in as the Department Head demo account 940001. Another college has organizations too (the fresh seed has five colleges).</t>
  </si>
  <si>
    <t xml:space="preserve">1. Open Organizations.
2. Read every organization listed and its college.
3. Compare with the Business college organization JPIA-CBE.</t>
  </si>
  <si>
    <t>Only organizations that belong to the Department Head's own college (Computer Studies) are listed. Organizations of other colleges are not shown anywhere, not even in search.</t>
  </si>
  <si>
    <t>GEN-094</t>
  </si>
  <si>
    <t>An organization Admin sees only their own organization's data</t>
  </si>
  <si>
    <t>The test copy is running and you have its link. Signed in as the Admin demo account 900001. Another organization has data (JPIA-CBE has its own Admin 920011).</t>
  </si>
  <si>
    <t xml:space="preserve">1. Open People, Events and Ledger.
2. Look for any person, event or amount that belongs to JPIA-CBE.
3. Use the search box on People to look for a JPIA-CBE student such as 2400118 or 2400133.</t>
  </si>
  <si>
    <t>Only PSITS-CCS data shows. No JPIA-CBE person, event or ledger entry appears in lists, search or counts.</t>
  </si>
  <si>
    <t>GEN-095</t>
  </si>
  <si>
    <t>The SAO sees every college and organization</t>
  </si>
  <si>
    <t xml:space="preserve">1. Open Organizations, then Colleges.
2. Read the college list.
3. Open Registrations and organizations and read the list.
4. Open one organization.</t>
  </si>
  <si>
    <t>The SAO sees all colleges with their organizations, with counts and states (Active, Pending, Returned, Archived). Organizations can be opened from the list.</t>
  </si>
  <si>
    <t>GEN-096</t>
  </si>
  <si>
    <t>Members of an archived organization cannot sign in</t>
  </si>
  <si>
    <t>The test copy is running and you have its link. You are signed out (no one is signed in on this browser). The SAO has archived a throwaway organization that has an Admin or a student account (ask the demo owner).</t>
  </si>
  <si>
    <t xml:space="preserve">1. Open the sign-in page.
2. Type the School ID of a member of the archived organization.
3. Type the correct password.
4. Choose Sign in.</t>
  </si>
  <si>
    <t>A red message shows: "Your organization has been archived by the Student Affairs Office and is read only. Contact the Student Affairs Office to restore it." You are not signed in.</t>
  </si>
  <si>
    <t>GEN-097</t>
  </si>
  <si>
    <t>Members of a pending or returned organization cannot sign in</t>
  </si>
  <si>
    <t>The test copy is running and you have its link. You are signed out (no one is signed in on this browser). A throwaway organization that is waiting for SAO review, and one that the SAO returned.</t>
  </si>
  <si>
    <t xml:space="preserve">1. Sign in with a member of the pending organization.
2. Read the message.
3. Sign in with a member of the returned organization.
4. Read the message.</t>
  </si>
  <si>
    <t>Pending: "Your organization is still waiting for approval by the Student Affairs Office." Returned: "Your organization registration was returned by the Student Affairs Office. Contact your Department Head." Neither person is signed in.</t>
  </si>
  <si>
    <t>GEN-098</t>
  </si>
  <si>
    <t>An archived organization is read only for the SAO</t>
  </si>
  <si>
    <t>The test copy is running and you have its link. Signed in as the SAO account 990001. An archived organization exists.</t>
  </si>
  <si>
    <t xml:space="preserve">1. Open Organizations, Registrations and organizations.
2. Open the archived organization.
3. Try to change something (add an Administrator or edit a detail).
4. Read the message.</t>
  </si>
  <si>
    <t>The change is refused with the message "Archived organizations are read only." The data stays as it was. Restoring the organization (SAO action) makes changes possible again.</t>
  </si>
  <si>
    <t>GEN-099</t>
  </si>
  <si>
    <t>Print and export</t>
  </si>
  <si>
    <t>Study objectives page prints cleanly</t>
  </si>
  <si>
    <t>The test copy is running and you have its link. Signed in as the Student demo account 2100142. Laptop and a printer or Save as PDF.</t>
  </si>
  <si>
    <t xml:space="preserve">1. Open Study objectives from the bottom of the sidebar.
2. Choose Print.
3. Look at the print preview.
4. Save as PDF.</t>
  </si>
  <si>
    <t>The preview shows the page content without the sidebar, top bar and buttons. Text is not cut at the edges. The saved PDF is readable.</t>
  </si>
  <si>
    <t>GEN-100</t>
  </si>
  <si>
    <t>Financial report downloads (PDF and Excel)</t>
  </si>
  <si>
    <t>The test copy is running and you have its link. Signed in as the Admin demo account 900001. A financial report exists (generate one in Finance, Financial reports).</t>
  </si>
  <si>
    <t xml:space="preserve">1. Open Finance, then Financial reports.
2. Choose the PDF download for a report and open the file.
3. Choose Export Excel for a report type and open the file in Excel.
4. Compare the figures in both files with the screen.</t>
  </si>
  <si>
    <t>A PDF named like financial-report-&lt;number&gt;.pdf downloads and opens. It shows the organization name, the period and the same totals as the screen. The Excel file opens without a repair warning, has column headings and rows that match the screen. A plain message shows if a file cannot be made.</t>
  </si>
  <si>
    <t>GEN-101</t>
  </si>
  <si>
    <t>Orders CSV export</t>
  </si>
  <si>
    <t>The test copy is running and you have its link. Signed in as the SBO Officer demo account 900004. Orders exist.</t>
  </si>
  <si>
    <t xml:space="preserve">1. Open Store, then Orders.
2. Choose Export CSV.
3. Watch the button text.
4. Open the file in Excel or Notepad.</t>
  </si>
  <si>
    <t>The button reads "Exporting..." while it works. A .csv file downloads with a header row and one line per order. Names with commas stay in one cell.</t>
  </si>
  <si>
    <t>GEN-102</t>
  </si>
  <si>
    <t>Exports contain all matching rows, not just the visible page</t>
  </si>
  <si>
    <t>The test copy is running and you have its link. Signed in as the Admin demo account 900001. More than one page of people or tasks (fresh seed has 35 accounts).</t>
  </si>
  <si>
    <t xml:space="preserve">1. Open People and filter the list to a role or search term.
2. Note the total count shown.
3. Choose Export.
4. Count the data rows in the file.</t>
  </si>
  <si>
    <t>The file has as many rows as the filtered total, not only the rows on the current page. The export button is disabled when the list has no rows.</t>
  </si>
  <si>
    <t>GEN-103</t>
  </si>
  <si>
    <t>Exported files do not run formulas</t>
  </si>
  <si>
    <t>The test copy is running and you have its link. Signed in as the Admin demo account 900001. Create a throwaway item whose name starts with =, +, - or @ (for example a task titled =1+1).</t>
  </si>
  <si>
    <t xml:space="preserve">1. Save a task or item named =1+1.
2. Export the list that contains it.
3. Open the file in Excel.</t>
  </si>
  <si>
    <t>The cell shows the text =1+1 (it begins with a small quote mark that the system adds), not the number 2. Excel does not run it as a formula.</t>
  </si>
  <si>
    <t>GEN-104</t>
  </si>
  <si>
    <t>Temporary passwords file after a class list import</t>
  </si>
  <si>
    <t>The test copy is running and you have its link. Signed in as the Admin demo account 900001. Use a small test class list with one new student. Treat the downloaded file as private.</t>
  </si>
  <si>
    <t xml:space="preserve">1. Open Members, then Programs and sections, then Import class list.
2. Download the template, add one new student, upload it and import.
3. Download the temporary passwords file shown after the import.
4. Close the page and look for the passwords again.</t>
  </si>
  <si>
    <t>A file named hiusa-temporary-passwords.csv downloads and lists each new student with a temporary password. The passwords are shown only once. After you leave the page they cannot be read again. Delete the file after the test.</t>
  </si>
  <si>
    <t>GEN-105</t>
  </si>
  <si>
    <t>Semesters</t>
  </si>
  <si>
    <t>After a semester is closed, an old event cannot be edited</t>
  </si>
  <si>
    <t>Run after SAO-100 and ADM-062</t>
  </si>
  <si>
    <t>The test copy is running and you have its link. Round 2. The 1st semester was active and Admin 900001 made an event in it ("QA Old Event"). The SAO has now closed the 1st semester and activated the 2nd (SAO-100). Sign in as Admin 900001.</t>
  </si>
  <si>
    <t xml:space="preserve">1. Open Events and tasks &gt; Events. In "Academic period" choose the closed semester (the option ends with "completed").
2. Read the line above the list. Look for the buttons "New event", "Delete event" and "Cancel event".
3. Open the row menu of "QA Old Event" and choose "Edit event".
4. Change the title and select "Save Changes". Read the red message.
5. Close the form. Choose "Active period" in the same drop down and look for "QA Old Event".</t>
  </si>
  <si>
    <t>The page says "Viewing completed semester records. New events use only the active period." "New event", "Delete event" and "Cancel event" are not offered. Saving the edit is refused with "Historical semester events are read only." and the title stays the same. Changing the status of the old event (Ongoing or Completed) is refused the same way. In the active period the old event is not listed. The event is still readable in the old period.</t>
  </si>
  <si>
    <t>VERIFY: where the red message shows (in the form or as a toast).</t>
  </si>
  <si>
    <t>GEN-106</t>
  </si>
  <si>
    <t>After a semester is closed, old tasks can be read but not changed</t>
  </si>
  <si>
    <t>Run after SAO-100 and ADM-086</t>
  </si>
  <si>
    <t>The test copy is running and you have its link. Round 2. Admin 900001 made a task for Officer 900004 in the 1st semester. The SAO has closed the 1st semester and activated the 2nd.</t>
  </si>
  <si>
    <t xml:space="preserve">1. Sign in as Admin 900001. Open Events and tasks &gt; Tasks. In "Academic period" choose the closed semester.
2. Read the note under the title. Look for "New task". Open the row menu of the old task.
3. Sign out. Sign in as Officer 900004. Open Events and tasks &gt; My tasks and choose the closed semester in "Academic period", if it is offered.
4. Look at the old task for "Start task" and "Complete task". Open "View details".</t>
  </si>
  <si>
    <t>The Admin sees "Completed semester tasks are available for viewing only." There is no "New task", and the row menu has no "Edit task", "Delete task" or "Reopen task". The officer sees the task in the old period with its details and history but no Start or Complete button. The system itself also refuses a forced change with "Historical semester tasks are read only." (409), but a normal user cannot reach that message from the screen: ask a technical teammate to send it.</t>
  </si>
  <si>
    <t>VERIFY: that the officer sees the Academic period drop down.</t>
  </si>
  <si>
    <t>GEN-107</t>
  </si>
  <si>
    <t>After a semester is closed, an old election is read only and students cannot vote in it</t>
  </si>
  <si>
    <t>Run after SAO-100 and ADM-152</t>
  </si>
  <si>
    <t>The test copy is running and you have its link. Round 2. An election was made in the 1st semester (it may be finished or still open). The SAO has closed the 1st semester and activated the 2nd.</t>
  </si>
  <si>
    <t xml:space="preserve">1. Sign in as Admin 900001. Open Voting &gt; Elections. Choose the closed semester in "Academic period".
2. Read the note above the cards. Look at the old election card for Edit, Delete, Open voting and Close.
3. Select "Open election" and try to add a position or a candidate.
4. Sign out. Sign in as Student 2100142. Open Voting &gt; Vote and look for the old election.</t>
  </si>
  <si>
    <t>The note reads "Completed semester elections are available for viewing only." The card only has "Open election" (and the letter download); there is no Edit, Delete, Open voting or Close button. Inside the election, a forced change is refused with "Historical semester elections are read only." The student does not see the old election to vote in. A vote that is sent to it anyway is refused with the same text.</t>
  </si>
  <si>
    <t>VERIFY: whether the election workspace still shows the add buttons, and whether the Vote page lists an old open election.</t>
  </si>
  <si>
    <t>GEN-108</t>
  </si>
  <si>
    <t>Check-in on an event of a closed semester is refused</t>
  </si>
  <si>
    <t>Run after SAO-100 and SBO-091</t>
  </si>
  <si>
    <t>The test copy is running and you have its link. Round 2. Officer 900004 has the Check-in page open on an event of the 1st semester. The SAO is ready, on another device, to close that semester and activate the next (SAO-100). Student 2100142 is a member who is not yet checked in.</t>
  </si>
  <si>
    <t xml:space="preserve">1. As the officer, open Events and tasks &gt; Check-in and open the event. Do not close the page.
2. The SAO closes the 1st semester and activates the 2nd.
3. In the same page (no reload) type 2100142 in "Member", pick the result and click "Confirm Check-In".
4. Read the message. Then reload the page and look in the "Event queue".</t>
  </si>
  <si>
    <t>The check-in is refused with "Historical semester events are read only." and no attendance record is added. After the reload the old event is not in the "Event queue", because the queue lists only events of the active period. Seeded events that never had a semester are not affected. This is the other side of the guard EnsureCurrentEventSemester (see SBO-091).</t>
  </si>
  <si>
    <t>VERIFY: where the message shows.</t>
  </si>
  <si>
    <t>GEN-109</t>
  </si>
  <si>
    <t>After a semester is closed, a pending approval for an old event or election cannot be decided</t>
  </si>
  <si>
    <t>Run after SAO-100, DH-041 and DH-046</t>
  </si>
  <si>
    <t>The test copy is running and you have its link. Round 2. Admin 900001 proposed an event and an election in the 1st semester. Department Head 940001 has not decided them. The SAO has closed the 1st semester and activated the 2nd.</t>
  </si>
  <si>
    <t xml:space="preserve">1. Sign in as Department Head 940001. Open Approvals and find the event request. Select Review.
2. Select Approve and confirm. Read the message.
3. Do the same for the election request (set Request type to Election).
4. Sign out. Sign in as Admin 900001. Open Approvals &gt; Submitted by me and read both requests.</t>
  </si>
  <si>
    <t>The event approval is refused with "Historical semester event approvals are read only." The election approval is refused with "Historical semester election approvals are read only." Both requests stay Pending and nobody can decide them. The Admin proposes new ones in the new semester.</t>
  </si>
  <si>
    <t>VERIFY: whether the old requests still show in the Department Head's list, and where the message shows.</t>
  </si>
  <si>
    <t>GEN-110</t>
  </si>
  <si>
    <t>Scheduler</t>
  </si>
  <si>
    <t>An election opens and closes by itself at its voting window</t>
  </si>
  <si>
    <t>Run after ADM-166</t>
  </si>
  <si>
    <t>The test copy is running and you have its link. The host laptop runs the scheduler (php artisan schedule:run or schedule:work) in the background. If you see nothing after waiting the time written in the case, report the case as Blocked and write the time you waited. The host can also run the single job by hand. Admin 900001 has an election that Department Head 940001 approved and the Admin finalized (see ADM-166). The voting window starts about 3 minutes from now and ends about 8 minutes from now. Only elections that were approved and finalized open by themselves.</t>
  </si>
  <si>
    <t xml:space="preserve">1. As Admin, open Voting &gt; Elections. Read the status of the election (Upcoming). Do not select Open voting.
2. Wait until the start time has passed by 1 to 2 minutes. Reload the page.
3. As Student 2100142, open Voting &gt; Vote and read the card.
4. Wait until the end time has passed by 1 to 2 minutes. Reload both pages.</t>
  </si>
  <si>
    <t>Before the start the card says Upcoming. One to two minutes after the start the Admin card shows Live (Voting open) and the student card shows the Open badge with "Vote in this election", with nobody pressing a button. One to two minutes after the end the status is Closed on both pages and the student can no longer vote. The job runs every minute. If the status did not change after 2 minutes, report Blocked.</t>
  </si>
  <si>
    <t>GEN-111</t>
  </si>
  <si>
    <t>An approved event sends a reminder notification within 24 hours of its start</t>
  </si>
  <si>
    <t>Run after ADM-062 and STU-029</t>
  </si>
  <si>
    <t>The test copy is running and you have its link. The host laptop runs the scheduler (php artisan schedule:run or schedule:work) in the background. If you see nothing after waiting the time written in the case, report the case as Blocked and write the time you waited. The host can also run the single job by hand. The reminder job runs once an hour, so wait for the next full hour plus a few minutes, or ask the host to run "events:send-reminders". An approved event starts within the next 24 hours (status Approved, not Ongoing). Student 2100142 is an active member and has not muted "Events and reminders" in Profile.</t>
  </si>
  <si>
    <t xml:space="preserve">1. As Admin, open the event and check that it is Approved and starts within 24 hours.
2. Wait until the next full hour has passed by a few minutes (or the host runs the job).
3. As Student 2100142, reload and open the bell.
4. Open the notification "Event Reminder: &lt;event title&gt;".
5. Wait for one more hour or run the job again. Open the bell again and count the reminders for this event.</t>
  </si>
  <si>
    <t>The bell lists "Event Reminder: &lt;event title&gt;" with the text "&lt;title&gt; starts &lt;date and time&gt; at &lt;venue&gt;." Members of the organization get it (the student, the officers and the Admins). After the next hourly run there is still only one reminder for this event per person. A student who muted "Events and reminders" does not see it. An event that is not Approved, or that starts later than 24 hours from now, gets no reminder.</t>
  </si>
  <si>
    <t>GEN-112</t>
  </si>
  <si>
    <t>A registered student who is never checked in becomes a No-show after the event ends</t>
  </si>
  <si>
    <t>The test copy is running and you have its link. The host laptop runs the scheduler (php artisan schedule:run or schedule:work) in the background. If you see nothing after waiting the time written in the case, report the case as Blocked and write the time you waited. The host can also run the single job by hand. The no-show job runs once an hour, so wait for the next full hour after the event ends plus a few minutes, or ask the host to run "events:mark-no-shows". Use an approved event that starts in a few minutes and ends in about 30 minutes. Student 2400019 registered and will not be checked in. Student 2100142 registered and will be checked in.</t>
  </si>
  <si>
    <t xml:space="preserve">1. As Student 2400019, open the event and read the badge. It says Registered.
2. As an officer, check in Student 2100142 only (Events and tasks, Check-in).
3. Wait until the event has ended and the next full hour has passed by a few minutes (or the host runs the job).
4. As Student 2400019, reopen the event and read the badge and the message.
5. As Student 2100142, reopen the event. As Admin, open the event and read the counts under "Registrations".</t>
  </si>
  <si>
    <t>Student 2400019 now shows the badge No-show and the line "You registered but no check-in was recorded for this event." The step "Check in at the event" says "No check-in recorded". Student 2100142 still shows Attended. The Admin's "Registrations" counts show Attended 1 and No-show 1. A registration that was cancelled stays Cancelled.</t>
  </si>
  <si>
    <t>GEN-113</t>
  </si>
  <si>
    <t>An SAO notice published for later goes out at its time and then expires</t>
  </si>
  <si>
    <t>Run after SAO-090</t>
  </si>
  <si>
    <t>The test copy is running and you have its link. The host laptop runs the scheduler (php artisan schedule:run or schedule:work) in the background. If you see nothing after waiting the time written in the case, report the case as Blocked and write the time you waited. The host can also run the single job by hand. Signed in as SAO 990001 (use the SAO password the demo owner gave you). SAO-090 only checks that the form saves. This case checks the publish time. Student 2100142 is ready on another device.</t>
  </si>
  <si>
    <t xml:space="preserve">1. Select Create official notice. Type a Title and text, keep the audience "All HIUSA users", set Schedule (optional) about 3 minutes from now and Expires about 8 minutes from now.
2. Tick Confirm publish and select Publish official notice. Read the card.
3. As Student 2100142, open the bell and Updates &gt; Announcements. Look for the notice.
4. Wait until the Schedule time has passed by 1 to 2 minutes. Reload the SAO page and the student page.
5. Wait until the Expires time has passed by 1 to 2 minutes. Reload the student feed.</t>
  </si>
  <si>
    <t>Right after saving the card shows SCHEDULED and the student sees nothing. One to two minutes after the Schedule time the card shows PUBLISHED, and the student has the notification "SAO Official: &lt;title&gt;" and sees the notice in the feed. After the Expires time the notice is no longer shown in the student feed. If the card stays SCHEDULED 2 minutes after its time, report Blocked.</t>
  </si>
  <si>
    <t>VERIFY: the exact card label after it expires.</t>
  </si>
  <si>
    <t>GEN-114</t>
  </si>
  <si>
    <t>A late task changes to Overdue after the daily job</t>
  </si>
  <si>
    <t>Run after ADM-086 and ADM-092</t>
  </si>
  <si>
    <t>The test copy is running and you have its link. The host laptop runs the scheduler (php artisan schedule:run or schedule:work) in the background. If you see nothing after waiting the time written in the case, report the case as Blocked and write the time you waited. The host can also run the single job by hand. The overdue job runs once a day at 00:05, so this case needs a night, or the host runs "tasks:mark-overdue" by hand. Admin 900001 made a task for Officer 900004 with a deadline a few minutes ahead. Nobody completes it.</t>
  </si>
  <si>
    <t xml:space="preserve">1. As Admin, create the task (Events and tasks &gt; Tasks, New task) and note its status. It starts as Pending.
2. Wait until the deadline has passed. Reload the Tasks board and read the status and the "Overdue" count.
3. After 00:05 the next day, or after the host runs the job, reload the board again.
4. As Officer 900004, open Events and tasks &gt; My tasks and read the task. Look for "Complete task".
5. Complete the task and reload the board.</t>
  </si>
  <si>
    <t>Before the job the task may still read Pending or In progress (</t>
  </si>
  <si>
    <t>VERIFY: the screen may mark it late by itself). After the job it reads Overdue and the "Overdue" count goes up by one. The officer sees it as Overdue and can still complete it. A completed task is not changed to Overdue by the job.</t>
  </si>
  <si>
    <t>GEN-115</t>
  </si>
  <si>
    <t>A person with two profiles switches profile and sees only the new profile</t>
  </si>
  <si>
    <t>Run after ADM-040</t>
  </si>
  <si>
    <t>The test copy is running and you have its link. The seed has no account with two profiles, because each college has only one organization. To make one: the Department Head of a college registers a second organization, the SAO approves it and creates its Admin (chain GEN-120), then that Admin adds Student 2100142 with "Add existing user" in Members &gt; People (ADM-040). VERIFY: whether the seed lets you do this. If you cannot make a second profile, report Blocked.</t>
  </si>
  <si>
    <t xml:space="preserve">1. Sign in as Student 2100142. Open the account menu in the top bar (your name).
2. Read the section "Profiles". Note the current profile and the other one.
3. Click the other profile. Wait for the page to reload.
4. Read the dashboard, the menu and the organization name. Open Events.
5. Open the account menu again and switch back to the first profile.</t>
  </si>
  <si>
    <t>The section "Profiles" lists both profiles and the hint "Switch profile". The current one is marked. After the click the page reloads on the home page of the new profile's role. The menu, the events and the data belong only to the new organization, and nothing of the first one shows. Switching back restores the first view. A person with only one profile sees "This is your only active profile."</t>
  </si>
  <si>
    <t>VERIFY: every step on a copy where a second profile can be made.</t>
  </si>
  <si>
    <t>GEN-116</t>
  </si>
  <si>
    <t>End-to-end journeys</t>
  </si>
  <si>
    <t>Event from proposal to report with the seeded data (Round 1)</t>
  </si>
  <si>
    <t>Run after ADM-062, DH-041, ADM-069, SAO-059, STU-029, SBO-018, STU-036 and ADM-140</t>
  </si>
  <si>
    <t>The test copy is running and you have its link. Round 1: the SAO has NOT added or activated a semester yet, so the seeded data is still in the lists. You need four to six people or one person who signs out and in. Accounts: Admin 900001, Department Head 940001, SAO 990001 (the SAO password the demo owner gave you), Officer 900004, Student 2100142. The password for the others comes from the tester sheet. Use a venue type that the SAO checks (an on-campus SAO venue). If the event window says "SAO has not listed any file requirements.", skip steps 7 to 9. Pick a start date a few days ahead so the student can still register.</t>
  </si>
  <si>
    <t xml:space="preserve">1. Sign in as Admin 900001. Open Events and tasks &gt; Events, select "New event", fill a title (for example "QA Chain Event"), dates, an on-campus venue, and select "Submit proposal".
2. Read the stepper in the event window. It should say it waits for the Department Head.
3. Sign out. Sign in as Department Head 940001. Open Approvals, select Review on the event, select Approve and confirm.
4. Read the sentence at the top of the panel.
5. Sign out. Sign in as Admin 900001. Open the event with "View event".
6. In "SAO event requirements" choose one PDF for each item and select "Submit event files to SAO".
7. Sign out. Sign in as SAO 990001. Open Reviews &gt; Compliance &gt; Event requirements and find the event under "Events waiting for SAO".
8. Select Approve and then "Approve event". Read the message.
9. Sign out. Sign in as Student 2100142. Open the bell and read the notification "Event Approved: QA Chain Event". Open Events and find the event.
10. Open the event and select "Register for this event". Read the badge.
11. Sign out. Sign in as Officer 900004. Open Events and tasks &gt; Check-in, open the event, type 2100142 in "Member", pick the result and select "Confirm Check-In".
12. Sign out. Sign in as Student 2100142. Open the event and read the badge and the three steps.
13. Sign out. Sign in as Admin 900001. Open the event, select "Mark Ongoing" and then "Mark Completed".
14. Select "Prepare event report", fill the four signatory names and select "Generate Financial Report". Read the new row in the list.</t>
  </si>
  <si>
    <t>Each hand-off shows the right next step: the event waits for the Department Head, then for the organization's SAO files, then for the SAO, then is Approved. The student gets "Event Approved: QA Chain Event", sees the event and the message "You are registered". After the officer check-in, the student sees Attended and "Your attendance at this event is on record." with the three steps done. The Admin can mark the event Completed and a draft report appears with the stage "Step 1 of 4: Draft". Nobody had to ask "where is it now?". In Round 1 the new event has no semester, so nothing here is blocked by a closed semester.</t>
  </si>
  <si>
    <t>VERIFY: whether the SAO step applies to your venue.</t>
  </si>
  <si>
    <t>GEN-117</t>
  </si>
  <si>
    <t>Event from proposal to report inside an active semester (Round 2)</t>
  </si>
  <si>
    <t>Run after SAO-098, ADM-064, DH-041, ADM-069, SAO-059, SBO-091, STU-102 and ADM-140</t>
  </si>
  <si>
    <t>The test copy is running and you have its link. Round 2: the SAO has added and activated a semester whose dates cover your test dates (SAO-096 and SAO-098). The seeded events are gone from the lists in this round. Accounts: Admin 900001, Department Head 940001, SAO 990001 (the SAO password the demo owner gave you), Officer 900004, Student 2100142. The password for the others comes from the tester sheet. If the event window says "SAO has not listed any file requirements.", skip steps 6 to 8. Pick a start date a few days ahead, inside the semester.</t>
  </si>
  <si>
    <t xml:space="preserve">1. Sign in as Admin 900001. Open Events and tasks &gt; Events, select "New event", fill the title (for example "QA Semester Event"), dates inside the semester, an on-campus venue, and select "Submit proposal".
2. Try one more proposal with dates a year later and read the refusal. Cancel it.
3. Sign out. Sign in as Department Head 940001. Open Approvals, select Review on the event, select Approve and confirm.
4. Sign out. Sign in as Student 2100142. Open Events and check that only the new event shows (the seeded events are gone).
5. Sign out. Sign in as Admin 900001. Open the event and, in "SAO event requirements", choose one PDF per item and select "Submit event files to SAO".
6. Sign out. Sign in as SAO 990001. Open Reviews &gt; Compliance &gt; Event requirements, select Approve on the event and then "Approve event".
7. Sign out. Sign in as Student 2100142. Read the bell notification "Event Approved: QA Semester Event". Open the event and select "Register for this event".
8. Sign out. Sign in as Officer 900004. Open Events and tasks &gt; Check-in, open the event and check in 2100142 with "Confirm Check-In". Read the message.
9. Sign out. Sign in as Student 2100142. Open the event and read the badge.
10. Sign out. Sign in as Admin 900001. Open the event, select "Mark Ongoing", then "Mark Completed".
11. Select "Prepare event report", fill the signatory names and select "Generate Financial Report".</t>
  </si>
  <si>
    <t>The dates outside the semester are refused with "Event dates must fall within the active academic semester." The Department Head, SAO, student, officer and Admin each see the event in the right state. The officer's check-in works with "Check-in recorded." and no message about a historical semester, because the event belongs to the active semester. The student sees Attended. The Admin can complete the event and a draft report appears with the stage "Step 1 of 4: Draft".</t>
  </si>
  <si>
    <t>GEN-118</t>
  </si>
  <si>
    <t>Election from proposal to results, all inside an active semester</t>
  </si>
  <si>
    <t>Run after SAO-098, ADM-152, DH-046, ADM-161, ADM-163, ADM-166, ADM-168, STU-101 and DH-078</t>
  </si>
  <si>
    <t>The test copy is running and you have its link. Round 2: the SAO has activated a semester. Accounts: Admin 900001, Department Head 940001, Student 2100142. The password comes from the tester sheet. Have a small PDF ready for the informative letter. The MEMBER_TESTING guide says nobody has tried a student voting in an election made this way, so every unexpected result is a finding.</t>
  </si>
  <si>
    <t xml:space="preserve">1. Sign in as Admin 900001. Open Voting &gt; Elections and select "Create election".
2. Choose the PDF in "Informative letter (PDF) *". Type the "Election title *" (for example "QA Chain Election"). Set "Voting starts *" about 3 minutes from now and "Voting ends *" a day later, inside the semester. Type one position of your own (for example Chairperson). Select "Submit for approval".
3. Sign out. Sign in as Department Head 940001. Open Approvals, set Request type to Election, select Review, Approve and confirm.
4. Sign out. Sign in as Admin 900001. Open the election. In the step "Party lists" select "Register New Party" and register one party.
5. In the step "Candidates" select "Add Candidate", search a different student (for example 2100217), choose the position and the party list, and add the candidate.
6. Select "Finalize ballot". Read the page.
7. Wait until the start time has passed by 1 to 2 minutes. Reload. If the status is still Upcoming after 2 minutes, select "Open voting" and write that down.
8. Sign out. Sign in as Student 2100142. Open Voting &gt; Vote. Select "Vote in this election", "Start my ballot", choose the candidate, "Review ballot", "Submit final ballot" and "Confirm and submit".
9. Sign out. Sign in as Admin 900001. Open the election, open the step "Voters" and read Not Yet Voted. Select "Close".
10. Open Voting &gt; Results and read the title and the winner.
11. Sign out. Sign in as Department Head 940001. Open Election results and read the same result. Look for a vote button.
12. Sign out. Sign in as Student 2100142. Open Voting &gt; Results and read the result.</t>
  </si>
  <si>
    <t>The election is Pending Approval after step 2 and Approved after step 3. The page after "Finalize ballot" says "Position setup is locked for this election." The election turns Live (Voting open) by itself at its start time. The student gets a "Ballot submitted" page with a receipt hash, and the Vote page then shows Voted. The Voters step shows one person fewer under Not Yet Voted. After "Close" the toast reads "Election closed." and Results shows "Official final results" with the same winner for the Admin, the Department Head and the student. No page shows who voted for whom. The Department Head has no vote button.</t>
  </si>
  <si>
    <t>GEN-119</t>
  </si>
  <si>
    <t>Order a sized product, pay by GCash, claim it, and check stock, receipt and ledger</t>
  </si>
  <si>
    <t>Run after ADM-176, ADM-181, STU-105, SBO-062, ADM-184, SBO-068, STU-061 and STU-062</t>
  </si>
  <si>
    <t>The test copy is running and you have its link. Accounts: Admin 900001, Officer 900004, Student 2300312. The password comes from the tester sheet. The Admin has uploaded the GCash QR code (ADM-181) and a product with sizes, for example "QA Shirt" with S stock 5 and M stock 10 at 100.00 each (ADM-176). Have a small picture for the payment proof. Write down the starting stock and the number of ledger entries.</t>
  </si>
  <si>
    <t xml:space="preserve">1. Sign in as Admin 900001. Open Store &gt; Inventory and write down the stock of "QA Shirt": S and M. Open Finance &gt; Ledger and write down the number of Merchandise income entries.
2. Sign out. Sign in as Student 2300312. Open Store, Shop. On "QA Shirt" leave "Select variant" and tap "Add to Cart". Read the message.
3. Choose size M and tap "Add to Cart". Open the cart and read the line of the product.
4. Tap "Review &amp; Continue", set Payment Method to GCash, type a 13-digit "GCash Reference", choose a picture in "Payment Proof" and tap "Place Reservation". Write down the order number.
5. Sign out. Sign in as Officer 900004. Open Store &gt; Orders, find the order, select "Verify", check "Amount verified" and select "Verify &amp; Submit".
6. Sign out. Sign in as Admin 900001. Open Store &gt; Orders and select "Approve payment" on the order, then confirm.
7. Open Store &gt; Inventory and read the stock of size S and size M again.
8. Sign out. Sign in as Student 2300312. Open Store, My orders. Read the status and the 16-character claim token.
9. Open My payments, Receipts and find the receipt for the order.
10. Sign out. Sign in as Officer 900004. Open Store &gt; Claim desk, type the token in "16-character claim token", select "Claim", check the student and the items, and select "Confirm Claim / Release".
11. Sign out. Sign in as Student 2300312. Open My orders and read the status.
12. Sign out. Sign in as Admin 900001. Open Store &gt; Inventory and compare stock. Open Finance &gt; Ledger and find the entry "Merchandise order ORD-&lt;number&gt;".</t>
  </si>
  <si>
    <t>The first Add to Cart says "Select a variant for QA Shirt." After the officer verifies, the order waits for the Admin and has no token yet. After the Admin approves it is Paid, shows a 16-character token and "Payment confirmed! Show your token again to collect your item." After the claim the order is Claimed and the officer's register lists it. Stock of size M is lower by 1 and size S did not change. The student has a receipt, and the ledger has one new income entry named "Merchandise order ORD-&lt;number&gt;" in the category Merchandise for the order total (the receipt reference is MERCH-ORD-&lt;number&gt;). The three numbers agree.</t>
  </si>
  <si>
    <t>VERIFY: whether the stock drops when the order is placed or when the Admin approves it (the code takes it at approval).</t>
  </si>
  <si>
    <t>GEN-120</t>
  </si>
  <si>
    <t>A new organization: registration, SAO approval, first Admin, first student</t>
  </si>
  <si>
    <t>Run after SAO-098, DH-021, SAO-022, SAO-034, ADM-007, ADM-052, ADM-019, ADM-039 and STU-017</t>
  </si>
  <si>
    <t>The test copy is running and you have its link. Round 2: the SAO has activated a semester (the Department Head cannot register before that). Accounts: Department Head 940001, SAO 990001 (the SAO password the demo owner gave you). Have ten small PDF files ready. Use a new organization name and a new School ID for the Admin (for example 9100123) and for the student (for example 2999001). Choose passwords of at least 8 characters and tell them to the next person. Do not write them in this sheet.</t>
  </si>
  <si>
    <t xml:space="preserve">1. Sign in as Department Head 940001. Open Organizations, select "Register an organization", type a new name and acronym, choose a PDF in every file box and select "Submit for review".
2. Read the new row. It should say "Pending review: waiting for SAO review".
3. Sign out. Sign in as SAO 990001. Open Registrations and organizations, select Review on the new organization, select Approve and read the message.
4. Select "Provision administrator". Fill the School ID, names, a new email and the same password twice. Select "Create Admin User".
5. Sign out. Sign in as the new Admin with that School ID and password. Read the screen.
6. Choose a new password (Current, New, Confirm new password) and select "Save new password". Read the Dashboard and its "Getting started" card.
7. Select the step "Set up your officer positions" and add one position. Return to the Dashboard and read the progress.
8. Open Members &gt; Programs and sections and add one program. Open Members &gt; People, select "New User" and create a Student with a School ID, a program, year and section and a password.
9. Sign out. Sign in as the new student with the School ID and the password you set. Read the screen.
10. Choose a new password and select "Save new password". Read the student home.</t>
  </si>
  <si>
    <t>The Department Head's row reads Pending review. The SAO sees "&lt;name&gt; approved and activated." The new Admin must choose a new password before any page opens ("Choose a new password"), then reaches the Admin Dashboard with a "Getting started" card. The step for officer positions is ticked and the progress moves up after the position is added. A new student cannot be made before a program exists. The new student must also choose a new password first, then reaches the student home with the new organization's data only (empty).</t>
  </si>
  <si>
    <t>GEN-121</t>
  </si>
  <si>
    <t>Clearance: signatures and a debt together decide Cleared</t>
  </si>
  <si>
    <t>Run after SAO-079, ADM-211, SBO-087, ADM-133, ADM-135, SAO-082 and STU-107</t>
  </si>
  <si>
    <t>The test copy is running and you have its link. Accounts: SAO 990001 (the SAO password the demo owner gave you), Admin 900001, Officer 900004, Student 2200055. The password for the others comes from the tester sheet. The student has no invoices at the start. The case checks that a debt blocks Cleared on Statement of account even when signatures are done.</t>
  </si>
  <si>
    <t xml:space="preserve">1. Sign in as SAO 990001. Open Reviews &gt; Clearances and select "New clearance period". Type a Title, pick a Deadline and choose the roles "Student Affairs Office (SAO)", "Organization president" and "Organization treasurer". Select "Open this period".
2. Sign out. Sign in as Admin 900001. Open Records &gt; Clearance signing. Find Student 2200055 on the president line. Select "Clear" and "Confirm clear".
3. Sign out. Sign in as Officer 900004. Open Clearance signing, find 2200055 on the treasurer line and clear it.
4. Sign out. Sign in as Admin 900001. Open Finance &gt; Student accounts, select "Add student charge" for School ID 2200055, Amount due 150, Description "QA fee" and select "Add charge".
5. Sign out. Sign in as Student 2200055. Open My payments, Statement of account. Read "Outstanding balance" and "Clearance".
6. Open Support, My clearance and read "Signatures cleared".
7. Sign out. Sign in as Admin 900001. Open Finance &gt; Student accounts, "View account" for 2200055, "Record payment" for the exact balance.
8. Sign out. Sign in as Student 2200055. Reload Statement of account and read both boxes again.
9. Reload My clearance and read "Signatures cleared".
10. Sign out. Sign in as SAO 990001. Open Reviews &gt; Clearances, open the period, find 2200055, select "Clear" on the SAO line and "Confirm clear".
11. Sign out. Sign in as Student 2200055. Read My clearance.
12. Read Statement of account again.</t>
  </si>
  <si>
    <t>After step 5 the balance is 150.00 with "1 unpaid invoice" and Clearance shows On hold with "You owe 150.00: 1 unpaid invoice." It is not Cleared, and My clearance shows "2 of 3". After the payment the balance is 0.00 with "Nothing owed" and Clearance shows Cleared, while My clearance still shows "2 of 3" and waits on the SAO (</t>
  </si>
  <si>
    <t>VERIFY: report if this mix confuses you). After the SAO signs, My clearance says "Your clearance is complete!" and "3 of 3", and Statement of account shows Cleared. The student gets a notification each time a signature is cleared.</t>
  </si>
  <si>
    <t>GEN-122</t>
  </si>
  <si>
    <t>Semester rollover: what each role sees after the SAO closes the semester</t>
  </si>
  <si>
    <t>Run after SAO-100, GEN-105, GEN-106, GEN-107, GEN-108 and GEN-109</t>
  </si>
  <si>
    <t>The test copy is running and you have its link. Round 2: the 1st Semester is active and a 2nd Semester exists as upcoming in the same year. In the 1st semester Admin 900001 made: an approved event ("QA Old Event"), a task for Officer 900004, a finalized election, and a second event that Department Head 940001 has not approved. Student 2100142 is registered for the approved event. Accounts: SAO 990001 (the SAO password the demo owner gave you). The password for the others comes from the tester sheet.</t>
  </si>
  <si>
    <t xml:space="preserve">1. Sign in as SAO 990001. Open Setup and records &gt; Academic years.
2. Select "Close semester" on the 1st Semester, then "Set as active" on the 2nd Semester.
3. Sign out. Sign in as Admin 900001. Open Events and tasks &gt; Events, choose the closed semester in "Academic period", edit "QA Old Event" and select "Save Changes". Read the message.
4. Open Events and tasks &gt; Tasks with the same period. Read the note and the row menu of the old task.
5. Open Voting &gt; Elections with the same period. Read the note and the buttons on the old election card.
6. Switch the period back to "Active period" and check that the old items are gone.
7. Propose a new event inside the 2nd semester.
8. Sign out. Sign in as Department Head 940001. Open Approvals and try to approve the old unapproved event. Read the message.
9. Sign out. Sign in as Officer 900004. Open My tasks with the closed period and look for Start and Complete.
10. Open Check-in and look for the old event.
11. Sign out. Sign in as Student 2100142. Open Events and look for the old event.
12. Open Voting &gt; Vote and look for the old election.</t>
  </si>
  <si>
    <t>The SAO closes the semester and activates the next one. The Admin's edit of the old event is refused with "Historical semester events are read only." The Tasks page says "Completed semester tasks are available for viewing only." and offers no edit or delete. The Elections page says "Completed semester elections are available for viewing only." with no edit, delete, open or close button. The new event is accepted. The Department Head's approve is refused with "Historical semester event approvals are read only." The officer cannot start or complete the old task and the old event is not in the check-in queue. The student sees only items of the new semester. Records of the old semester stay readable.</t>
  </si>
  <si>
    <t>GEN-123</t>
  </si>
  <si>
    <t>Financial report: Admin, Department Head, SAO, then Approved and locked</t>
  </si>
  <si>
    <t>Run after ADM-138, ADM-142, ADM-127, DH-045, SAO-062 and ADM-237</t>
  </si>
  <si>
    <t>The test copy is running and you have its link. Accounts: Admin 900001, Department Head 940001, SAO 990001 (the SAO password the demo owner gave you). The password for the others comes from the tester sheet. A financial semester exists and the ledger has entries. Prepare a small PDF as a supporting file.</t>
  </si>
  <si>
    <t xml:space="preserve">1. Sign in as Admin 900001. Open Finance &gt; Financial reports. Under "Prepare a report" choose "Financial Report", keep "Covered period" on Semester, type the four signatory names and select "Generate Financial Report".
2. In the list select "View details" on the draft and choose the PDF under "Supporting files".
3. Select "Submit for review" and read the stage.
4. Open Finance &gt; Ledger and try "Edit transaction" on an entry that is in the report. Read the note.
5. Sign out. Sign in as Department Head 940001. Open Approvals, set Request type to Financial Report and select Review on the report.
6. Select Approve and confirm. Read the panel.
7. Sign out. Sign in as SAO 990001. Open Reviews &gt; Compliance &gt; Financial reports and select View on the report.
8. Select Approve and then "Approve report". Read the message.
9. Sign out. Sign in as Admin 900001. Open Finance &gt; Financial reports and read the status. Open "View details" and look for "Submit for review".
10. Open Finance &gt; Ledger and try again to edit or delete an entry that is in the report.</t>
  </si>
  <si>
    <t>After step 2 the stage is "Waiting for Department Head approval" and the ledger entries in the report are locked already (the note names the report). The Department Head's approval moves the report to the SAO. The SAO sees "Financial report approved." The Admin sees the report as Approved, with no "Submit for review" button, and the entries stay locked. An entry outside the report can still be edited.</t>
  </si>
  <si>
    <t>GEN-124</t>
  </si>
  <si>
    <t>Usability protocol</t>
  </si>
  <si>
    <t>SAO journeys: count the clicks against the limits</t>
  </si>
  <si>
    <t>Run with SAO-022, SAO-055, SAO-062, SAO-075 and SAO-014</t>
  </si>
  <si>
    <t>The test copy is running and you have its link. Work in pairs: one person does the journey, one watches and writes. The watcher does not help. Sign in as SAO 990001 (the SAO password the demo owner gave you). Journey 1 needs a registration from a Department Head and an active semester (Round 2), and journey 5 needs a grievance addressed to the SAO. Start each journey at the home page after signing in. Typing and choosing a file do not count as clicks.</t>
  </si>
  <si>
    <t xml:space="preserve">1. Journey 1, approve a registration and give it an administrator: limit 5 clicks. End: the organization is Active with one administrator.
2. Journey 2, review compliance: limit 3 clicks. End: the submission shows its new status.
3. Journey 3, decide a financial report: limit 3 clicks. End: the report shows Approved.
4. Journey 4, see who needs attention: limit 2 clicks. End: organizations that need action are listed first.
5. Journey 5, answer a grievance: limit 4 clicks. End: the student's My grievances shows Resolved.
6. For each journey write the clicks you counted, whether the end state was reached, and any moment the person stopped and asked "where do I go now".</t>
  </si>
  <si>
    <t>Every journey reaches its end state within the limit and the person never asks where to go. A journey that needs more clicks, or where the person gets lost, is a finding: write it as "SAO, journey and step, what you did, what you expected, what happened" and mark it blocked, lost, wording or looks wrong (MEMBER_TESTING sections 4 and 7). Send blocked findings first.</t>
  </si>
  <si>
    <t>GEN-125</t>
  </si>
  <si>
    <t>Department Head journeys: count the clicks against the limits</t>
  </si>
  <si>
    <t>Run with DH-021, DH-041, DH-030 and DH-059</t>
  </si>
  <si>
    <t>The test copy is running and you have its link. Work in pairs: one person does, one watches and writes. The watcher does not help. Sign in as Department Head 940001 (password given to you separately). Journey 1 needs an active semester (Round 2). Journey 3 needs a registration that the SAO returned. Start each journey at the home page after signing in.</t>
  </si>
  <si>
    <t xml:space="preserve">1. Journey 1, register an organization: limit 3 clicks. End: the row reads Pending review and its status says "Pending review: waiting for SAO review".
2. Journey 2, approve an item: limit 4 clicks (Approvals, open an item, Approve, confirm). End: the item shows Approved and links to the event, budget or report.
3. Journey 3, follow up a returned registration: limit 3 clicks from home. End: the row reads "Waiting for SAO review" again.
4. Journey 4, act from a notification: limit 2 clicks (the bell, then the notification). End: you land on the exact item.
5. For each journey write the clicks you counted, whether the end state was reached, and any moment the person asked "where do I go now".</t>
  </si>
  <si>
    <t>Every journey reaches its end state within the limit. Anything above the limit, or any moment of being lost, is a finding in the form "Role, journey and step, what you did, what you expected, what happened, screenshot if any" marked blocked, lost, wording or looks wrong.</t>
  </si>
  <si>
    <t>GEN-126</t>
  </si>
  <si>
    <t>Admin journeys: count the clicks against the limits</t>
  </si>
  <si>
    <t>Run with ADM-062, ADM-226, ADM-108, ADM-094 and ADM-140</t>
  </si>
  <si>
    <t>The test copy is running and you have its link. Work in pairs: one person does, one watches and writes. The watcher does not help. Sign in as Admin 900001 (password from the tester sheet). Journey 1 needs an active semester if you want the full flow (Round 2). Start each journey at the home page after signing in.</t>
  </si>
  <si>
    <t xml:space="preserve">1. Journey 1, propose an event: limit 4 clicks, plus 1 for the SAO files if the SAO needs them. End: the event shows its stepper and says who it waits for.
2. Journey 2, fund it: limit 3 clicks from the event (propose a budget from the event page). End: the event shows the budget waiting for the Department Head.
3. Journey 3, track what you submitted: limit 3 clicks (Approvals, Submitted by me). End: the row stage text equals the event page text.
4. Journey 4, run and report: 3 clicks for check-in (Events and tasks, Check-in), 3 clicks for the report from the finished event. End: the report shows as a draft to review and submit.
5. Journey 5, set up the organization: 3 clicks per step with the Getting started card (positions, members, first event).
6. For each journey write the clicks, whether the end state was reached, and any moment of being lost.</t>
  </si>
  <si>
    <t>Every journey reaches its end state within the limit. The Admin never has to ask anyone where an event is. Any extra click, wrong turn or confusing word is a finding (blocked, lost, wording or looks wrong).</t>
  </si>
  <si>
    <t>GEN-127</t>
  </si>
  <si>
    <t>Officer journeys: count the clicks against the limits</t>
  </si>
  <si>
    <t>Run with SBO-018, SBO-062, SBO-068, SBO-031 and SBO-077</t>
  </si>
  <si>
    <t>The test copy is running and you have its link. Work in pairs: one person does, one watches and writes. The watcher does not help. Sign in as Officer 900004 (password the demo owner gave you). Journeys 1 and 3 use the seeded data (Round 1). Journey 2 needs a student order. Start each journey at the home page after signing in.</t>
  </si>
  <si>
    <t xml:space="preserve">1. Journey 1, check someone in: limit 4 clicks (Events and tasks, Check-in). End: the attendance count goes up.
2. Journey 2, verify a payment and release an order: limit 6 clicks (Store, Orders, verify, then Store, Claim desk). End: the order shows Claimed.
3. Journey 3, update my task: limit 3 clicks. End: the card shows the new stage.
4. Journey 4, send an announcement for approval: limit 4 clicks. End: the row says "Waiting for Admin approval".
5. For each journey write the clicks, whether the end state was reached, and any moment of being lost.</t>
  </si>
  <si>
    <t>Every journey reaches its end state within the limit. Anything above the limit, or any moment of being lost, is a finding marked blocked, lost, wording or looks wrong.</t>
  </si>
  <si>
    <t>GEN-128</t>
  </si>
  <si>
    <t>Student journeys: count the clicks against the limits</t>
  </si>
  <si>
    <t>Run with STU-029, STU-041, STU-055, STU-066 and STU-079</t>
  </si>
  <si>
    <t>The test copy is running and you have its link. Work in pairs: one person does, one watches and writes. The watcher does not help. Sign in as Student 2100142 (password from the tester sheet). Journeys 1 and 2 use the seeded event and election (Round 1). Start each journey at the home page after signing in. Typing and choosing a file do not count as clicks.</t>
  </si>
  <si>
    <t xml:space="preserve">1. Journey 1, join an event: limit 3 clicks. End: the event says "You are registered".
2. Journey 2, vote: limit 2 clicks from home (in the menu, clicking Voting opens the Vote page), then the ballot steps. End: a receipt, and the Vote page lists the election as Voted.
3. Journey 3, order and claim: limit 5 clicks to order. End: My orders shows the order with the next step. After an officer verifies it, it shows Paid and the claim token.
4. Journey 4, see what you owe: limit 2 clicks (My payments, Statement of account). End: balance and clearance status are visible without scrolling.
5. Journey 5, file a grievance and check clearance: 4 clicks and 2 clicks. End: the grievance reads "Waiting for Admin to review" (or "Waiting for SAO to review" when addressed to the SAO).
6. For each journey write the clicks, whether the end state was reached, and any moment of being lost.</t>
  </si>
  <si>
    <t>Every journey reaches its end state within the limit and the person never asks "where do I go now". Anything above the limit, or any moment of being lost, is a finding marked blocked, lost, wording or looks wrong. Example finding line: "Student, journey 1 step 2, I tapped the event card, I expected a Join button, I saw only details".</t>
  </si>
  <si>
    <t>GEN-129</t>
  </si>
  <si>
    <t>Lost and wording findings for every role, and the menu label card sort</t>
  </si>
  <si>
    <t>Run after GEN-124, GEN-125, GEN-126, GEN-127 and GEN-128</t>
  </si>
  <si>
    <t>The test copy is running and you have its link. Do this after the five role cases above. One tester per role (SAO, Department Head, Admin, Officer, Student) writes findings. Five student leaders who have not seen the menu do the card sort (10 minutes).</t>
  </si>
  <si>
    <t xml:space="preserve">1. Each tester answers these five questions for their role: Where did I not know what to do next? Which word did I not understand and what did I think it meant? Where did I click and get another result than I expected? Which page did I want but could not find in the menu? Did two screens disagree about the same thing, for example a status?
2. Write one line per finding: Role, journey and step, what you did, what you expected, what happened, screenshot if any.
3. Mark each line: blocked (could not finish), lost (finished but confused), wording (misleading text) or looks wrong (layout or visual).
4. Card sort: give five student leaders one card for each page name (without the groups). Ask them to group the cards and give each group a name. Compare their groups and names with the menu groups Records, Events and tasks, Store and Updates.
5. List every difference between their groups and the menu as a finding. Send blocked findings first.</t>
  </si>
  <si>
    <t>Each role has a list of findings in the one-line shape, each marked blocked, lost, wording or looks wrong, with blocked ones sent first. The card sort gives a list of differences between the leaders' groups and names and the menu. A role with no findings says "no lost moments, no confusing words" in writing.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</si>
</sst>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yyyy-mm-dd"/>
  </numFmts>
  <fonts count="13" x14ac:knownFonts="1">
    <font>
      <color theme="1"/>
      <family val="2"/>
      <scheme val="minor"/>
      <sz val="11"/>
      <name val="Calibri"/>
    </font>
    <font>
      <b/>
      <color rgb="FFFFFFFF"/>
      <sz val="18"/>
    </font>
    <font>
      <b/>
      <color rgb="FF0B8ED0"/>
      <sz val="13"/>
    </font>
    <font>
      <b/>
    </font>
    <font>
      <b/>
      <color rgb="FFFFFFFF"/>
    </font>
    <font>
      <b/>
      <color rgb="FF000000"/>
    </font>
    <font>
      <b/>
      <color rgb="FF006100"/>
    </font>
    <font>
      <b/>
      <color rgb="FF9C0006"/>
    </font>
    <font>
      <b/>
      <color rgb="FF7F6000"/>
    </font>
    <font>
      <b/>
      <color rgb="FF595959"/>
    </font>
    <font>
      <b/>
      <color rgb="FFFFFFFF"/>
      <sz val="16"/>
    </font>
    <font/>
    <font>
      <i/>
      <color rgb="FF7F7F7F"/>
    </font>
  </fonts>
  <fills count="10">
    <fill>
      <patternFill patternType="none"/>
    </fill>
    <fill>
      <patternFill patternType="gray125"/>
    </fill>
    <fill>
      <patternFill patternType="solid">
        <fgColor rgb="FF0B1831"/>
      </patternFill>
    </fill>
    <fill>
      <patternFill patternType="solid">
        <fgColor rgb="FF0B8ED0"/>
      </patternFill>
    </fill>
    <fill>
      <patternFill patternType="solid">
        <fgColor rgb="FFFFFFFF"/>
      </patternFill>
    </fill>
    <fill>
      <patternFill patternType="solid">
        <fgColor rgb="FFC6EFCE"/>
      </patternFill>
    </fill>
    <fill>
      <patternFill patternType="solid">
        <fgColor rgb="FFFFC7CE"/>
      </patternFill>
    </fill>
    <fill>
      <patternFill patternType="solid">
        <fgColor rgb="FFFFEB9C"/>
      </patternFill>
    </fill>
    <fill>
      <patternFill patternType="solid">
        <fgColor rgb="FFD9D9D9"/>
      </patternFill>
    </fill>
    <fill>
      <patternFill patternType="solid">
        <fgColor rgb="FFDCEEF8"/>
      </patternFill>
    </fill>
  </fills>
  <borders count="3">
    <border>
      <left/>
      <right/>
      <top/>
      <bottom/>
      <diagonal/>
    </border>
    <border>
      <left/>
      <right/>
      <top/>
      <bottom style="hair">
        <color rgb="FFBFBFBF"/>
      </bottom>
      <diagonal/>
    </border>
    <border>
      <left/>
      <right/>
      <top style="thin"/>
      <bottom/>
      <diagonal/>
    </border>
  </borders>
  <cellStyleXfs count="1">
    <xf numFmtId="0" fontId="0" fillId="0" borderId="0"/>
  </cellStyleXfs>
  <cellXfs count="25">
    <xf numFmtId="0" fontId="0" fillId="0" borderId="0" xfId="0"/>
    <xf numFmtId="0" fontId="1" fillId="2" borderId="0" xfId="0" applyFont="1" applyFill="1" applyAlignment="1">
      <alignment vertical="center"/>
    </xf>
    <xf numFmtId="0" fontId="2" fillId="0" borderId="0" xfId="0" applyFont="1"/>
    <xf numFmtId="0" fontId="0" fillId="0" borderId="0" xfId="0" applyAlignment="1">
      <alignment vertical="top" wrapText="1"/>
    </xf>
    <xf numFmtId="0" fontId="3" fillId="0" borderId="0" xfId="0" applyFont="1" applyAlignment="1">
      <alignment vertical="top" wrapText="1"/>
    </xf>
    <xf numFmtId="0" fontId="4" fillId="3" borderId="0" xfId="0" applyFont="1" applyFill="1" applyAlignment="1">
      <alignment horizontal="left" vertical="center" wrapText="1"/>
    </xf>
    <xf numFmtId="0" fontId="0" fillId="0" borderId="1" xfId="0" applyBorder="1" applyAlignment="1">
      <alignment vertical="top" wrapText="1"/>
    </xf>
    <xf numFmtId="0" fontId="5" fillId="4" borderId="1" xfId="0" applyFont="1" applyFill="1" applyBorder="1"/>
    <xf numFmtId="0" fontId="6" fillId="5" borderId="1" xfId="0" applyFont="1" applyFill="1" applyBorder="1"/>
    <xf numFmtId="0" fontId="7" fillId="6" borderId="1" xfId="0" applyFont="1" applyFill="1" applyBorder="1"/>
    <xf numFmtId="0" fontId="8" fillId="7" borderId="1" xfId="0" applyFont="1" applyFill="1" applyBorder="1"/>
    <xf numFmtId="0" fontId="9" fillId="8" borderId="1" xfId="0" applyFont="1" applyFill="1" applyBorder="1"/>
    <xf numFmtId="0" fontId="10" fillId="2" borderId="0" xfId="0" applyFont="1" applyFill="1"/>
    <xf numFmtId="0" fontId="4" fillId="2" borderId="0" xfId="0" applyFont="1" applyFill="1" applyAlignment="1">
      <alignment horizontal="left" vertical="center" wrapText="1"/>
    </xf>
    <xf numFmtId="0" fontId="4" fillId="2" borderId="0" xfId="0" applyFont="1" applyFill="1" applyAlignment="1">
      <alignment horizontal="center" vertical="center" wrapText="1"/>
    </xf>
    <xf numFmtId="0" fontId="11" fillId="0" borderId="1" xfId="0" applyFont="1" applyBorder="1"/>
    <xf numFmtId="0" fontId="0" fillId="0" borderId="1" xfId="0" applyBorder="1" applyAlignment="1">
      <alignment horizontal="center"/>
    </xf>
    <xf numFmtId="9" fontId="0" fillId="0" borderId="1" xfId="0" applyNumberFormat="1" applyBorder="1" applyAlignment="1">
      <alignment horizontal="center"/>
    </xf>
    <xf numFmtId="0" fontId="3" fillId="9" borderId="2" xfId="0" applyFont="1" applyFill="1" applyBorder="1"/>
    <xf numFmtId="0" fontId="3" fillId="9" borderId="2" xfId="0" applyFont="1" applyFill="1" applyBorder="1" applyAlignment="1">
      <alignment horizontal="center"/>
    </xf>
    <xf numFmtId="9" fontId="3" fillId="9" borderId="2" xfId="0" applyNumberFormat="1" applyFont="1" applyFill="1" applyBorder="1" applyAlignment="1">
      <alignment horizontal="center"/>
    </xf>
    <xf numFmtId="0" fontId="0" fillId="0" borderId="1" xfId="0" applyBorder="1" applyAlignment="1">
      <alignment horizontal="center" vertical="top"/>
    </xf>
    <xf numFmtId="0" fontId="3" fillId="0" borderId="1" xfId="0" applyFont="1" applyBorder="1" applyAlignment="1">
      <alignment vertical="top" wrapText="1"/>
    </xf>
    <xf numFmtId="0" fontId="12" fillId="0" borderId="1" xfId="0" applyFont="1" applyBorder="1" applyAlignment="1">
      <alignment vertical="top" wrapText="1"/>
    </xf>
    <xf numFmtId="164" fontId="0" fillId="0" borderId="1" xfId="0" applyNumberFormat="1" applyBorder="1" applyAlignment="1">
      <alignment vertical="top" wrapText="1"/>
    </xf>
  </cellXfs>
  <cellStyles count="1">
    <cellStyle name="Normal" xfId="0" builtinId="0"/>
  </cellStyles>
  <dxfs count="28">
    <dxf>
      <font>
        <color rgb="FF006100"/>
      </font>
      <fill>
        <patternFill patternType="solid">
          <bgColor rgb="FFC6EFCE"/>
        </patternFill>
      </fill>
    </dxf>
    <dxf>
      <font>
        <color rgb="FF9C0006"/>
      </font>
      <fill>
        <patternFill patternType="solid">
          <bgColor rgb="FFFFC7CE"/>
        </patternFill>
      </fill>
    </dxf>
    <dxf>
      <font>
        <color rgb="FF7F6000"/>
      </font>
      <fill>
        <patternFill patternType="solid">
          <bgColor rgb="FFFFEB9C"/>
        </patternFill>
      </fill>
    </dxf>
    <dxf>
      <font>
        <b/>
        <color rgb="FF9C0006"/>
      </font>
      <fill>
        <patternFill patternType="solid">
          <bgColor rgb="FFFFC7CE"/>
        </patternFill>
      </fill>
    </dxf>
    <dxf>
      <font>
        <b/>
        <color rgb="FF006100"/>
      </font>
      <fill>
        <patternFill patternType="solid">
          <bgColor rgb="FFC6EFCE"/>
        </patternFill>
      </fill>
    </dxf>
    <dxf>
      <font>
        <b/>
        <color rgb="FF9C0006"/>
      </font>
      <fill>
        <patternFill patternType="solid">
          <bgColor rgb="FFFFC7CE"/>
        </patternFill>
      </fill>
    </dxf>
    <dxf>
      <font>
        <b/>
        <color rgb="FF7F6000"/>
      </font>
      <fill>
        <patternFill patternType="solid">
          <bgColor rgb="FFFFEB9C"/>
        </patternFill>
      </fill>
    </dxf>
    <dxf>
      <font>
        <b/>
        <color rgb="FF595959"/>
      </font>
      <fill>
        <patternFill patternType="solid">
          <bgColor rgb="FFD9D9D9"/>
        </patternFill>
      </fill>
    </dxf>
    <dxf>
      <font>
        <b/>
        <color rgb="FF006100"/>
      </font>
      <fill>
        <patternFill patternType="solid">
          <bgColor rgb="FFC6EFCE"/>
        </patternFill>
      </fill>
    </dxf>
    <dxf>
      <font>
        <b/>
        <color rgb="FF9C0006"/>
      </font>
      <fill>
        <patternFill patternType="solid">
          <bgColor rgb="FFFFC7CE"/>
        </patternFill>
      </fill>
    </dxf>
    <dxf>
      <font>
        <b/>
        <color rgb="FF7F6000"/>
      </font>
      <fill>
        <patternFill patternType="solid">
          <bgColor rgb="FFFFEB9C"/>
        </patternFill>
      </fill>
    </dxf>
    <dxf>
      <font>
        <b/>
        <color rgb="FF595959"/>
      </font>
      <fill>
        <patternFill patternType="solid">
          <bgColor rgb="FFD9D9D9"/>
        </patternFill>
      </fill>
    </dxf>
    <dxf>
      <font>
        <b/>
        <color rgb="FF006100"/>
      </font>
      <fill>
        <patternFill patternType="solid">
          <bgColor rgb="FFC6EFCE"/>
        </patternFill>
      </fill>
    </dxf>
    <dxf>
      <font>
        <b/>
        <color rgb="FF9C0006"/>
      </font>
      <fill>
        <patternFill patternType="solid">
          <bgColor rgb="FFFFC7CE"/>
        </patternFill>
      </fill>
    </dxf>
    <dxf>
      <font>
        <b/>
        <color rgb="FF7F6000"/>
      </font>
      <fill>
        <patternFill patternType="solid">
          <bgColor rgb="FFFFEB9C"/>
        </patternFill>
      </fill>
    </dxf>
    <dxf>
      <font>
        <b/>
        <color rgb="FF595959"/>
      </font>
      <fill>
        <patternFill patternType="solid">
          <bgColor rgb="FFD9D9D9"/>
        </patternFill>
      </fill>
    </dxf>
    <dxf>
      <font>
        <b/>
        <color rgb="FF006100"/>
      </font>
      <fill>
        <patternFill patternType="solid">
          <bgColor rgb="FFC6EFCE"/>
        </patternFill>
      </fill>
    </dxf>
    <dxf>
      <font>
        <b/>
        <color rgb="FF9C0006"/>
      </font>
      <fill>
        <patternFill patternType="solid">
          <bgColor rgb="FFFFC7CE"/>
        </patternFill>
      </fill>
    </dxf>
    <dxf>
      <font>
        <b/>
        <color rgb="FF7F6000"/>
      </font>
      <fill>
        <patternFill patternType="solid">
          <bgColor rgb="FFFFEB9C"/>
        </patternFill>
      </fill>
    </dxf>
    <dxf>
      <font>
        <b/>
        <color rgb="FF595959"/>
      </font>
      <fill>
        <patternFill patternType="solid">
          <bgColor rgb="FFD9D9D9"/>
        </patternFill>
      </fill>
    </dxf>
    <dxf>
      <font>
        <b/>
        <color rgb="FF006100"/>
      </font>
      <fill>
        <patternFill patternType="solid">
          <bgColor rgb="FFC6EFCE"/>
        </patternFill>
      </fill>
    </dxf>
    <dxf>
      <font>
        <b/>
        <color rgb="FF9C0006"/>
      </font>
      <fill>
        <patternFill patternType="solid">
          <bgColor rgb="FFFFC7CE"/>
        </patternFill>
      </fill>
    </dxf>
    <dxf>
      <font>
        <b/>
        <color rgb="FF7F6000"/>
      </font>
      <fill>
        <patternFill patternType="solid">
          <bgColor rgb="FFFFEB9C"/>
        </patternFill>
      </fill>
    </dxf>
    <dxf>
      <font>
        <b/>
        <color rgb="FF595959"/>
      </font>
      <fill>
        <patternFill patternType="solid">
          <bgColor rgb="FFD9D9D9"/>
        </patternFill>
      </fill>
    </dxf>
    <dxf>
      <font>
        <b/>
        <color rgb="FF006100"/>
      </font>
      <fill>
        <patternFill patternType="solid">
          <bgColor rgb="FFC6EFCE"/>
        </patternFill>
      </fill>
    </dxf>
    <dxf>
      <font>
        <b/>
        <color rgb="FF9C0006"/>
      </font>
      <fill>
        <patternFill patternType="solid">
          <bgColor rgb="FFFFC7CE"/>
        </patternFill>
      </fill>
    </dxf>
    <dxf>
      <font>
        <b/>
        <color rgb="FF7F6000"/>
      </font>
      <fill>
        <patternFill patternType="solid">
          <bgColor rgb="FFFFEB9C"/>
        </patternFill>
      </fill>
    </dxf>
    <dxf>
      <font>
        <b/>
        <color rgb="FF595959"/>
      </font>
      <fill>
        <patternFill patternType="solid">
          <bgColor rgb="FFD9D9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
  <sheetViews>
    <sheetView workbookViewId="0" showGridLines="0"/>
  </sheetViews>
  <sheetFormatPr defaultRowHeight="15" outlineLevelRow="0" outlineLevelCol="0" x14ac:dyDescent="55"/>
  <cols>
    <col min="1" max="1" width="34" customWidth="1"/>
    <col min="2" max="2" width="22" customWidth="1"/>
    <col min="3" max="3" width="80" customWidth="1"/>
  </cols>
  <sheetData>
    <row r="1" ht="32" customHeight="1" spans="1:3" x14ac:dyDescent="0.25">
      <c r="A1" s="1" t="s">
        <v>0</v>
      </c>
      <c r="B1" s="1"/>
      <c r="C1" s="1"/>
    </row>
    <row r="3" spans="1:1" x14ac:dyDescent="0.25">
      <c r="A3" s="2" t="s">
        <v>1</v>
      </c>
    </row>
    <row r="4" spans="1:3" x14ac:dyDescent="0.25">
      <c r="A4" s="3" t="s">
        <v>2</v>
      </c>
      <c r="B4" s="3"/>
      <c r="C4" s="3"/>
    </row>
    <row r="5" spans="1:3" x14ac:dyDescent="0.25">
      <c r="A5" s="3" t="s">
        <v>3</v>
      </c>
      <c r="B5" s="3"/>
      <c r="C5" s="3"/>
    </row>
    <row r="6" spans="1:3" x14ac:dyDescent="0.25">
      <c r="A6" s="3" t="s">
        <v>4</v>
      </c>
      <c r="B6" s="3"/>
      <c r="C6" s="3"/>
    </row>
    <row r="7" spans="1:3" x14ac:dyDescent="0.25">
      <c r="A7" s="3" t="s">
        <v>5</v>
      </c>
      <c r="B7" s="3"/>
      <c r="C7" s="3"/>
    </row>
    <row r="8" spans="1:3" x14ac:dyDescent="0.25">
      <c r="A8" s="3" t="s">
        <v>6</v>
      </c>
      <c r="B8" s="3"/>
      <c r="C8" s="3"/>
    </row>
    <row r="10" spans="1:1" x14ac:dyDescent="0.25">
      <c r="A10" s="2" t="s">
        <v>7</v>
      </c>
    </row>
    <row r="11" spans="1:3" x14ac:dyDescent="0.25">
      <c r="A11" s="4" t="s">
        <v>8</v>
      </c>
      <c r="B11" s="4"/>
      <c r="C11" s="4"/>
    </row>
    <row r="13" spans="1:1" x14ac:dyDescent="0.25">
      <c r="A13" s="2" t="s">
        <v>9</v>
      </c>
    </row>
    <row r="14" spans="1:3" x14ac:dyDescent="0.25">
      <c r="A14" s="5" t="s">
        <v>10</v>
      </c>
      <c r="B14" s="5" t="s">
        <v>11</v>
      </c>
      <c r="C14" s="5" t="s">
        <v>12</v>
      </c>
    </row>
    <row r="15" spans="1:3" x14ac:dyDescent="0.25">
      <c r="A15" s="6" t="s">
        <v>13</v>
      </c>
      <c r="B15" s="6" t="s">
        <v>14</v>
      </c>
      <c r="C15" s="6" t="s">
        <v>15</v>
      </c>
    </row>
    <row r="16" spans="1:3" x14ac:dyDescent="0.25">
      <c r="A16" s="6" t="s">
        <v>16</v>
      </c>
      <c r="B16" s="6" t="s">
        <v>17</v>
      </c>
      <c r="C16" s="6" t="s">
        <v>18</v>
      </c>
    </row>
    <row r="17" spans="1:3" x14ac:dyDescent="0.25">
      <c r="A17" s="6" t="s">
        <v>19</v>
      </c>
      <c r="B17" s="6" t="s">
        <v>20</v>
      </c>
      <c r="C17" s="6" t="s">
        <v>21</v>
      </c>
    </row>
    <row r="18" spans="1:3" x14ac:dyDescent="0.25">
      <c r="A18" s="6" t="s">
        <v>22</v>
      </c>
      <c r="B18" s="6" t="s">
        <v>23</v>
      </c>
      <c r="C18" s="6" t="s">
        <v>24</v>
      </c>
    </row>
    <row r="19" spans="1:3" x14ac:dyDescent="0.25">
      <c r="A19" s="6" t="s">
        <v>25</v>
      </c>
      <c r="B19" s="6" t="s">
        <v>26</v>
      </c>
      <c r="C19" s="6" t="s">
        <v>27</v>
      </c>
    </row>
    <row r="20" spans="1:3" x14ac:dyDescent="0.25">
      <c r="A20" s="6" t="s">
        <v>28</v>
      </c>
      <c r="B20" s="6" t="s">
        <v>29</v>
      </c>
      <c r="C20" s="6" t="s">
        <v>30</v>
      </c>
    </row>
    <row r="21" ht="32" customHeight="1" spans="1:3" x14ac:dyDescent="0.25">
      <c r="A21" s="4" t="s">
        <v>31</v>
      </c>
      <c r="B21" s="4"/>
      <c r="C21" s="4"/>
    </row>
    <row r="23" spans="1:1" x14ac:dyDescent="0.25">
      <c r="A23" s="2" t="s">
        <v>32</v>
      </c>
    </row>
    <row r="24" spans="1:3" x14ac:dyDescent="0.25">
      <c r="A24" s="7" t="s">
        <v>33</v>
      </c>
      <c r="B24" t="s">
        <v>34</v>
      </c>
      <c r="C24"/>
    </row>
    <row r="25" spans="1:3" x14ac:dyDescent="0.25">
      <c r="A25" s="8" t="s">
        <v>35</v>
      </c>
      <c r="B25" t="s">
        <v>36</v>
      </c>
      <c r="C25"/>
    </row>
    <row r="26" spans="1:3" x14ac:dyDescent="0.25">
      <c r="A26" s="9" t="s">
        <v>37</v>
      </c>
      <c r="B26" t="s">
        <v>38</v>
      </c>
      <c r="C26"/>
    </row>
    <row r="27" spans="1:3" x14ac:dyDescent="0.25">
      <c r="A27" s="10" t="s">
        <v>39</v>
      </c>
      <c r="B27" t="s">
        <v>40</v>
      </c>
      <c r="C27"/>
    </row>
    <row r="28" spans="1:3" x14ac:dyDescent="0.25">
      <c r="A28" s="11" t="s">
        <v>41</v>
      </c>
      <c r="B28" t="s">
        <v>42</v>
      </c>
      <c r="C28"/>
    </row>
    <row r="30" spans="1:1" x14ac:dyDescent="0.25">
      <c r="A30" s="2" t="s">
        <v>43</v>
      </c>
    </row>
    <row r="31" spans="1:3" x14ac:dyDescent="0.25">
      <c r="A31" s="3" t="s">
        <v>44</v>
      </c>
      <c r="B31" s="3"/>
      <c r="C31" s="3"/>
    </row>
    <row r="32" spans="1:3" x14ac:dyDescent="0.25">
      <c r="A32" s="3" t="s">
        <v>45</v>
      </c>
      <c r="B32" s="3"/>
      <c r="C32" s="3"/>
    </row>
    <row r="33" spans="1:3" x14ac:dyDescent="0.25">
      <c r="A33" s="3" t="s">
        <v>46</v>
      </c>
      <c r="B33" s="3"/>
      <c r="C33" s="3"/>
    </row>
    <row r="34" spans="1:3" x14ac:dyDescent="0.25">
      <c r="A34" s="3" t="s">
        <v>47</v>
      </c>
      <c r="B34" s="3"/>
      <c r="C34" s="3"/>
    </row>
    <row r="35" spans="1:3" x14ac:dyDescent="0.25">
      <c r="A35" s="3" t="s">
        <v>48</v>
      </c>
      <c r="B35" s="3"/>
      <c r="C35" s="3"/>
    </row>
    <row r="36" spans="1:3" x14ac:dyDescent="0.25">
      <c r="A36" s="3" t="s">
        <v>49</v>
      </c>
      <c r="B36" s="3"/>
      <c r="C36" s="3"/>
    </row>
    <row r="37" spans="1:3" x14ac:dyDescent="0.25">
      <c r="A37" s="3" t="s">
        <v>50</v>
      </c>
      <c r="B37" s="3"/>
      <c r="C37" s="3"/>
    </row>
    <row r="38" ht="32" customHeight="1" spans="1:3" x14ac:dyDescent="0.25">
      <c r="A38" s="3" t="s">
        <v>51</v>
      </c>
      <c r="B38" s="3"/>
      <c r="C38" s="3"/>
    </row>
    <row r="40" spans="1:1" x14ac:dyDescent="0.25">
      <c r="A40" s="2" t="s">
        <v>52</v>
      </c>
    </row>
    <row r="41" ht="64" customHeight="1" spans="1:3" x14ac:dyDescent="0.25">
      <c r="A41" s="3" t="s">
        <v>53</v>
      </c>
      <c r="B41" s="3"/>
      <c r="C41" s="3"/>
    </row>
    <row r="42" ht="48" customHeight="1" spans="1:3" x14ac:dyDescent="0.25">
      <c r="A42" s="3" t="s">
        <v>54</v>
      </c>
      <c r="B42" s="3"/>
      <c r="C42" s="3"/>
    </row>
    <row r="44" spans="1:1" x14ac:dyDescent="0.25">
      <c r="A44" s="2" t="s">
        <v>55</v>
      </c>
    </row>
    <row r="45" ht="48" customHeight="1" spans="1:3" x14ac:dyDescent="0.25">
      <c r="A45" s="3" t="s">
        <v>56</v>
      </c>
      <c r="B45" s="3"/>
      <c r="C45" s="3"/>
    </row>
    <row r="46" ht="32" customHeight="1" spans="1:3" x14ac:dyDescent="0.25">
      <c r="A46" s="3" t="s">
        <v>57</v>
      </c>
      <c r="B46" s="3"/>
      <c r="C46" s="3"/>
    </row>
    <row r="47" ht="48" customHeight="1" spans="1:3" x14ac:dyDescent="0.25">
      <c r="A47" s="3" t="s">
        <v>58</v>
      </c>
      <c r="B47" s="3"/>
      <c r="C47" s="3"/>
    </row>
    <row r="48" ht="48" customHeight="1" spans="1:3" x14ac:dyDescent="0.25">
      <c r="A48" s="3" t="s">
        <v>59</v>
      </c>
      <c r="B48" s="3"/>
      <c r="C48" s="3"/>
    </row>
  </sheetData>
  <mergeCells count="27">
    <mergeCell ref="A1:C1"/>
    <mergeCell ref="A4:C4"/>
    <mergeCell ref="A5:C5"/>
    <mergeCell ref="A6:C6"/>
    <mergeCell ref="A7:C7"/>
    <mergeCell ref="A8:C8"/>
    <mergeCell ref="A11:C11"/>
    <mergeCell ref="A21:C21"/>
    <mergeCell ref="B24:C24"/>
    <mergeCell ref="B25:C25"/>
    <mergeCell ref="B26:C26"/>
    <mergeCell ref="B27:C27"/>
    <mergeCell ref="B28:C28"/>
    <mergeCell ref="A31:C31"/>
    <mergeCell ref="A32:C32"/>
    <mergeCell ref="A33:C33"/>
    <mergeCell ref="A34:C34"/>
    <mergeCell ref="A35:C35"/>
    <mergeCell ref="A36:C36"/>
    <mergeCell ref="A37:C37"/>
    <mergeCell ref="A38:C38"/>
    <mergeCell ref="A41:C41"/>
    <mergeCell ref="A42:C42"/>
    <mergeCell ref="A45:C45"/>
    <mergeCell ref="A46:C46"/>
    <mergeCell ref="A47:C47"/>
    <mergeCell ref="A48:C4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
  <sheetViews>
    <sheetView workbookViewId="0" showGridLines="0">
      <pane ySplit="3" topLeftCell="A4" activePane="bottomLeft" state="frozen"/>
      <selection pane="bottomLeft"/>
    </sheetView>
  </sheetViews>
  <sheetFormatPr defaultRowHeight="15" outlineLevelRow="0" outlineLevelCol="0" x14ac:dyDescent="55"/>
  <cols>
    <col min="1" max="1" width="24" customWidth="1"/>
    <col min="2" max="13" width="12" customWidth="1"/>
  </cols>
  <sheetData>
    <row r="1" ht="28" customHeight="1" spans="1:13" x14ac:dyDescent="0.25">
      <c r="A1" s="12" t="s">
        <v>60</v>
      </c>
      <c r="B1" s="12"/>
      <c r="C1" s="12"/>
      <c r="D1" s="12"/>
      <c r="E1" s="12"/>
      <c r="F1" s="12"/>
      <c r="G1" s="12"/>
      <c r="H1" s="12"/>
      <c r="I1" s="12"/>
      <c r="J1" s="12"/>
      <c r="K1" s="12"/>
      <c r="L1" s="12"/>
      <c r="M1" s="12"/>
    </row>
    <row r="3" ht="30" customHeight="1" spans="1:13" x14ac:dyDescent="0.25">
      <c r="A3" s="13" t="s">
        <v>10</v>
      </c>
      <c r="B3" s="14" t="s">
        <v>61</v>
      </c>
      <c r="C3" s="14" t="s">
        <v>33</v>
      </c>
      <c r="D3" s="14" t="s">
        <v>35</v>
      </c>
      <c r="E3" s="14" t="s">
        <v>37</v>
      </c>
      <c r="F3" s="14" t="s">
        <v>39</v>
      </c>
      <c r="G3" s="14" t="s">
        <v>41</v>
      </c>
      <c r="H3" s="14" t="s">
        <v>62</v>
      </c>
      <c r="I3" s="14" t="s">
        <v>63</v>
      </c>
      <c r="J3" s="14" t="s">
        <v>64</v>
      </c>
      <c r="K3" s="14" t="s">
        <v>65</v>
      </c>
      <c r="L3" s="14" t="s">
        <v>66</v>
      </c>
      <c r="M3" s="14" t="s">
        <v>67</v>
      </c>
    </row>
    <row r="4" spans="1:13" x14ac:dyDescent="0.25">
      <c r="A4" s="15" t="s">
        <v>13</v>
      </c>
      <c r="B4" s="16">
        <f>COUNTA('SAO'!$A$2:$A$2000)</f>
        <v>114</v>
      </c>
      <c r="C4" s="16">
        <f>B4-D4-E4-F4-G4</f>
        <v>114</v>
      </c>
      <c r="D4" s="16">
        <f>COUNTIF('SAO'!$M$2:$M$2000,"Pass")</f>
        <v>0</v>
      </c>
      <c r="E4" s="16">
        <f>COUNTIF('SAO'!$M$2:$M$2000,"Fail")</f>
        <v>0</v>
      </c>
      <c r="F4" s="16">
        <f>COUNTIF('SAO'!$M$2:$M$2000,"Blocked")</f>
        <v>0</v>
      </c>
      <c r="G4" s="16">
        <f>COUNTIF('SAO'!$M$2:$M$2000,"N/A")</f>
        <v>0</v>
      </c>
      <c r="H4" s="17" t="str">
        <f>IF(D4+E4=0,"",D4/(D4+E4))</f>
        <v/>
      </c>
      <c r="I4" s="17">
        <f>IF(B4=0,"",(B4-C4)/B4)</f>
        <v>0</v>
      </c>
      <c r="J4" s="16">
        <f>COUNTIFS('SAO'!$M$2:$M$2000,"Fail",'SAO'!$N$2:$N$2000,"Critical")</f>
        <v>0</v>
      </c>
      <c r="K4" s="16">
        <f>COUNTIFS('SAO'!$M$2:$M$2000,"Fail",'SAO'!$N$2:$N$2000,"Major")</f>
        <v>0</v>
      </c>
      <c r="L4" s="16">
        <f>COUNTIFS('SAO'!$M$2:$M$2000,"Fail",'SAO'!$N$2:$N$2000,"Minor")</f>
        <v>0</v>
      </c>
      <c r="M4" s="16">
        <f>COUNTIFS('SAO'!$M$2:$M$2000,"Fail",'SAO'!$N$2:$N$2000,"Cosmetic")</f>
        <v>0</v>
      </c>
    </row>
    <row r="5" spans="1:13" x14ac:dyDescent="0.25">
      <c r="A5" s="15" t="s">
        <v>16</v>
      </c>
      <c r="B5" s="16">
        <f>COUNTA('Department Head'!$A$2:$A$2000)</f>
        <v>92</v>
      </c>
      <c r="C5" s="16">
        <f>B5-D5-E5-F5-G5</f>
        <v>92</v>
      </c>
      <c r="D5" s="16">
        <f>COUNTIF('Department Head'!$M$2:$M$2000,"Pass")</f>
        <v>0</v>
      </c>
      <c r="E5" s="16">
        <f>COUNTIF('Department Head'!$M$2:$M$2000,"Fail")</f>
        <v>0</v>
      </c>
      <c r="F5" s="16">
        <f>COUNTIF('Department Head'!$M$2:$M$2000,"Blocked")</f>
        <v>0</v>
      </c>
      <c r="G5" s="16">
        <f>COUNTIF('Department Head'!$M$2:$M$2000,"N/A")</f>
        <v>0</v>
      </c>
      <c r="H5" s="17" t="str">
        <f>IF(D5+E5=0,"",D5/(D5+E5))</f>
        <v/>
      </c>
      <c r="I5" s="17">
        <f>IF(B5=0,"",(B5-C5)/B5)</f>
        <v>0</v>
      </c>
      <c r="J5" s="16">
        <f>COUNTIFS('Department Head'!$M$2:$M$2000,"Fail",'Department Head'!$N$2:$N$2000,"Critical")</f>
        <v>0</v>
      </c>
      <c r="K5" s="16">
        <f>COUNTIFS('Department Head'!$M$2:$M$2000,"Fail",'Department Head'!$N$2:$N$2000,"Major")</f>
        <v>0</v>
      </c>
      <c r="L5" s="16">
        <f>COUNTIFS('Department Head'!$M$2:$M$2000,"Fail",'Department Head'!$N$2:$N$2000,"Minor")</f>
        <v>0</v>
      </c>
      <c r="M5" s="16">
        <f>COUNTIFS('Department Head'!$M$2:$M$2000,"Fail",'Department Head'!$N$2:$N$2000,"Cosmetic")</f>
        <v>0</v>
      </c>
    </row>
    <row r="6" spans="1:13" x14ac:dyDescent="0.25">
      <c r="A6" s="15" t="s">
        <v>68</v>
      </c>
      <c r="B6" s="16">
        <f>COUNTA('Admin &amp; Adviser'!$A$2:$A$2000)</f>
        <v>243</v>
      </c>
      <c r="C6" s="16">
        <f>B6-D6-E6-F6-G6</f>
        <v>243</v>
      </c>
      <c r="D6" s="16">
        <f>COUNTIF('Admin &amp; Adviser'!$M$2:$M$2000,"Pass")</f>
        <v>0</v>
      </c>
      <c r="E6" s="16">
        <f>COUNTIF('Admin &amp; Adviser'!$M$2:$M$2000,"Fail")</f>
        <v>0</v>
      </c>
      <c r="F6" s="16">
        <f>COUNTIF('Admin &amp; Adviser'!$M$2:$M$2000,"Blocked")</f>
        <v>0</v>
      </c>
      <c r="G6" s="16">
        <f>COUNTIF('Admin &amp; Adviser'!$M$2:$M$2000,"N/A")</f>
        <v>0</v>
      </c>
      <c r="H6" s="17" t="str">
        <f>IF(D6+E6=0,"",D6/(D6+E6))</f>
        <v/>
      </c>
      <c r="I6" s="17">
        <f>IF(B6=0,"",(B6-C6)/B6)</f>
        <v>0</v>
      </c>
      <c r="J6" s="16">
        <f>COUNTIFS('Admin &amp; Adviser'!$M$2:$M$2000,"Fail",'Admin &amp; Adviser'!$N$2:$N$2000,"Critical")</f>
        <v>0</v>
      </c>
      <c r="K6" s="16">
        <f>COUNTIFS('Admin &amp; Adviser'!$M$2:$M$2000,"Fail",'Admin &amp; Adviser'!$N$2:$N$2000,"Major")</f>
        <v>0</v>
      </c>
      <c r="L6" s="16">
        <f>COUNTIFS('Admin &amp; Adviser'!$M$2:$M$2000,"Fail",'Admin &amp; Adviser'!$N$2:$N$2000,"Minor")</f>
        <v>0</v>
      </c>
      <c r="M6" s="16">
        <f>COUNTIFS('Admin &amp; Adviser'!$M$2:$M$2000,"Fail",'Admin &amp; Adviser'!$N$2:$N$2000,"Cosmetic")</f>
        <v>0</v>
      </c>
    </row>
    <row r="7" spans="1:13" x14ac:dyDescent="0.25">
      <c r="A7" s="15" t="s">
        <v>25</v>
      </c>
      <c r="B7" s="16">
        <f>COUNTA('SBO Officer'!$A$2:$A$2000)</f>
        <v>94</v>
      </c>
      <c r="C7" s="16">
        <f>B7-D7-E7-F7-G7</f>
        <v>94</v>
      </c>
      <c r="D7" s="16">
        <f>COUNTIF('SBO Officer'!$M$2:$M$2000,"Pass")</f>
        <v>0</v>
      </c>
      <c r="E7" s="16">
        <f>COUNTIF('SBO Officer'!$M$2:$M$2000,"Fail")</f>
        <v>0</v>
      </c>
      <c r="F7" s="16">
        <f>COUNTIF('SBO Officer'!$M$2:$M$2000,"Blocked")</f>
        <v>0</v>
      </c>
      <c r="G7" s="16">
        <f>COUNTIF('SBO Officer'!$M$2:$M$2000,"N/A")</f>
        <v>0</v>
      </c>
      <c r="H7" s="17" t="str">
        <f>IF(D7+E7=0,"",D7/(D7+E7))</f>
        <v/>
      </c>
      <c r="I7" s="17">
        <f>IF(B7=0,"",(B7-C7)/B7)</f>
        <v>0</v>
      </c>
      <c r="J7" s="16">
        <f>COUNTIFS('SBO Officer'!$M$2:$M$2000,"Fail",'SBO Officer'!$N$2:$N$2000,"Critical")</f>
        <v>0</v>
      </c>
      <c r="K7" s="16">
        <f>COUNTIFS('SBO Officer'!$M$2:$M$2000,"Fail",'SBO Officer'!$N$2:$N$2000,"Major")</f>
        <v>0</v>
      </c>
      <c r="L7" s="16">
        <f>COUNTIFS('SBO Officer'!$M$2:$M$2000,"Fail",'SBO Officer'!$N$2:$N$2000,"Minor")</f>
        <v>0</v>
      </c>
      <c r="M7" s="16">
        <f>COUNTIFS('SBO Officer'!$M$2:$M$2000,"Fail",'SBO Officer'!$N$2:$N$2000,"Cosmetic")</f>
        <v>0</v>
      </c>
    </row>
    <row r="8" spans="1:13" x14ac:dyDescent="0.25">
      <c r="A8" s="15" t="s">
        <v>28</v>
      </c>
      <c r="B8" s="16">
        <f>COUNTA('Student'!$A$2:$A$2000)</f>
        <v>108</v>
      </c>
      <c r="C8" s="16">
        <f>B8-D8-E8-F8-G8</f>
        <v>108</v>
      </c>
      <c r="D8" s="16">
        <f>COUNTIF('Student'!$M$2:$M$2000,"Pass")</f>
        <v>0</v>
      </c>
      <c r="E8" s="16">
        <f>COUNTIF('Student'!$M$2:$M$2000,"Fail")</f>
        <v>0</v>
      </c>
      <c r="F8" s="16">
        <f>COUNTIF('Student'!$M$2:$M$2000,"Blocked")</f>
        <v>0</v>
      </c>
      <c r="G8" s="16">
        <f>COUNTIF('Student'!$M$2:$M$2000,"N/A")</f>
        <v>0</v>
      </c>
      <c r="H8" s="17" t="str">
        <f>IF(D8+E8=0,"",D8/(D8+E8))</f>
        <v/>
      </c>
      <c r="I8" s="17">
        <f>IF(B8=0,"",(B8-C8)/B8)</f>
        <v>0</v>
      </c>
      <c r="J8" s="16">
        <f>COUNTIFS('Student'!$M$2:$M$2000,"Fail",'Student'!$N$2:$N$2000,"Critical")</f>
        <v>0</v>
      </c>
      <c r="K8" s="16">
        <f>COUNTIFS('Student'!$M$2:$M$2000,"Fail",'Student'!$N$2:$N$2000,"Major")</f>
        <v>0</v>
      </c>
      <c r="L8" s="16">
        <f>COUNTIFS('Student'!$M$2:$M$2000,"Fail",'Student'!$N$2:$N$2000,"Minor")</f>
        <v>0</v>
      </c>
      <c r="M8" s="16">
        <f>COUNTIFS('Student'!$M$2:$M$2000,"Fail",'Student'!$N$2:$N$2000,"Cosmetic")</f>
        <v>0</v>
      </c>
    </row>
    <row r="9" spans="1:13" x14ac:dyDescent="0.25">
      <c r="A9" s="15" t="s">
        <v>69</v>
      </c>
      <c r="B9" s="16">
        <f>COUNTA('General'!$A$2:$A$2000)</f>
        <v>129</v>
      </c>
      <c r="C9" s="16">
        <f>B9-D9-E9-F9-G9</f>
        <v>129</v>
      </c>
      <c r="D9" s="16">
        <f>COUNTIF('General'!$M$2:$M$2000,"Pass")</f>
        <v>0</v>
      </c>
      <c r="E9" s="16">
        <f>COUNTIF('General'!$M$2:$M$2000,"Fail")</f>
        <v>0</v>
      </c>
      <c r="F9" s="16">
        <f>COUNTIF('General'!$M$2:$M$2000,"Blocked")</f>
        <v>0</v>
      </c>
      <c r="G9" s="16">
        <f>COUNTIF('General'!$M$2:$M$2000,"N/A")</f>
        <v>0</v>
      </c>
      <c r="H9" s="17" t="str">
        <f>IF(D9+E9=0,"",D9/(D9+E9))</f>
        <v/>
      </c>
      <c r="I9" s="17">
        <f>IF(B9=0,"",(B9-C9)/B9)</f>
        <v>0</v>
      </c>
      <c r="J9" s="16">
        <f>COUNTIFS('General'!$M$2:$M$2000,"Fail",'General'!$N$2:$N$2000,"Critical")</f>
        <v>0</v>
      </c>
      <c r="K9" s="16">
        <f>COUNTIFS('General'!$M$2:$M$2000,"Fail",'General'!$N$2:$N$2000,"Major")</f>
        <v>0</v>
      </c>
      <c r="L9" s="16">
        <f>COUNTIFS('General'!$M$2:$M$2000,"Fail",'General'!$N$2:$N$2000,"Minor")</f>
        <v>0</v>
      </c>
      <c r="M9" s="16">
        <f>COUNTIFS('General'!$M$2:$M$2000,"Fail",'General'!$N$2:$N$2000,"Cosmetic")</f>
        <v>0</v>
      </c>
    </row>
    <row r="10" spans="1:13" x14ac:dyDescent="0.25">
      <c r="A10" s="18" t="s">
        <v>70</v>
      </c>
      <c r="B10" s="19">
        <f>SUM(B4:B9)</f>
        <v>780</v>
      </c>
      <c r="C10" s="19">
        <f>SUM(C4:C9)</f>
        <v>780</v>
      </c>
      <c r="D10" s="19">
        <f>SUM(D4:D9)</f>
        <v>0</v>
      </c>
      <c r="E10" s="19">
        <f>SUM(E4:E9)</f>
        <v>0</v>
      </c>
      <c r="F10" s="19">
        <f>SUM(F4:F9)</f>
        <v>0</v>
      </c>
      <c r="G10" s="19">
        <f>SUM(G4:G9)</f>
        <v>0</v>
      </c>
      <c r="H10" s="20" t="str">
        <f>IF(D10+E10=0,"",D10/(D10+E10))</f>
        <v/>
      </c>
      <c r="I10" s="20">
        <f>IF(B10=0,"",(B10-C10)/B10)</f>
        <v>0</v>
      </c>
      <c r="J10" s="19">
        <f>SUM(J4:J9)</f>
        <v>0</v>
      </c>
      <c r="K10" s="19">
        <f>SUM(K4:K9)</f>
        <v>0</v>
      </c>
      <c r="L10" s="19">
        <f>SUM(L4:L9)</f>
        <v>0</v>
      </c>
      <c r="M10" s="19">
        <f>SUM(M4:M9)</f>
        <v>0</v>
      </c>
    </row>
    <row r="12" ht="18" customHeight="1" spans="1:13" x14ac:dyDescent="0.25">
      <c r="A12" s="3" t="s">
        <v>71</v>
      </c>
      <c r="B12" s="3"/>
      <c r="C12" s="3"/>
      <c r="D12" s="3"/>
      <c r="E12" s="3"/>
      <c r="F12" s="3"/>
      <c r="G12" s="3"/>
      <c r="H12" s="3"/>
      <c r="I12" s="3"/>
      <c r="J12" s="3"/>
      <c r="K12" s="3"/>
      <c r="L12" s="3"/>
      <c r="M12" s="3"/>
    </row>
    <row r="13" ht="18" customHeight="1" spans="1:13" x14ac:dyDescent="0.25">
      <c r="A13" s="3" t="s">
        <v>72</v>
      </c>
      <c r="B13" s="3"/>
      <c r="C13" s="3"/>
      <c r="D13" s="3"/>
      <c r="E13" s="3"/>
      <c r="F13" s="3"/>
      <c r="G13" s="3"/>
      <c r="H13" s="3"/>
      <c r="I13" s="3"/>
      <c r="J13" s="3"/>
      <c r="K13" s="3"/>
      <c r="L13" s="3"/>
      <c r="M13" s="3"/>
    </row>
    <row r="14" ht="18" customHeight="1" spans="1:13" x14ac:dyDescent="0.25">
      <c r="A14" s="3" t="s">
        <v>73</v>
      </c>
      <c r="B14" s="3"/>
      <c r="C14" s="3"/>
      <c r="D14" s="3"/>
      <c r="E14" s="3"/>
      <c r="F14" s="3"/>
      <c r="G14" s="3"/>
      <c r="H14" s="3"/>
      <c r="I14" s="3"/>
      <c r="J14" s="3"/>
      <c r="K14" s="3"/>
      <c r="L14" s="3"/>
      <c r="M14" s="3"/>
    </row>
    <row r="15" ht="18" customHeight="1" spans="1:13" x14ac:dyDescent="0.25">
      <c r="A15" s="3" t="s">
        <v>74</v>
      </c>
      <c r="B15" s="3"/>
      <c r="C15" s="3"/>
      <c r="D15" s="3"/>
      <c r="E15" s="3"/>
      <c r="F15" s="3"/>
      <c r="G15" s="3"/>
      <c r="H15" s="3"/>
      <c r="I15" s="3"/>
      <c r="J15" s="3"/>
      <c r="K15" s="3"/>
      <c r="L15" s="3"/>
      <c r="M15" s="3"/>
    </row>
    <row r="16" ht="18" customHeight="1" spans="1:13" x14ac:dyDescent="0.25">
      <c r="A16" s="3" t="s">
        <v>75</v>
      </c>
      <c r="B16" s="3"/>
      <c r="C16" s="3"/>
      <c r="D16" s="3"/>
      <c r="E16" s="3"/>
      <c r="F16" s="3"/>
      <c r="G16" s="3"/>
      <c r="H16" s="3"/>
      <c r="I16" s="3"/>
      <c r="J16" s="3"/>
      <c r="K16" s="3"/>
      <c r="L16" s="3"/>
      <c r="M16" s="3"/>
    </row>
    <row r="18" spans="1:1" x14ac:dyDescent="0.25">
      <c r="A18" s="2" t="s">
        <v>76</v>
      </c>
    </row>
    <row r="19" ht="22" customHeight="1" spans="1:5" x14ac:dyDescent="0.25">
      <c r="A19" s="13" t="s">
        <v>77</v>
      </c>
      <c r="B19" s="14" t="s">
        <v>61</v>
      </c>
      <c r="C19" s="14" t="s">
        <v>35</v>
      </c>
      <c r="D19" s="14" t="s">
        <v>37</v>
      </c>
      <c r="E19" s="14" t="s">
        <v>39</v>
      </c>
    </row>
    <row r="20" ht="32" customHeight="1" spans="1:5" x14ac:dyDescent="0.25">
      <c r="A20" s="6" t="s">
        <v>78</v>
      </c>
      <c r="B20" s="21">
        <f>COUNTIFS('SAO'!$G$2:$G$2000,$A20)+COUNTIFS('Department Head'!$G$2:$G$2000,$A20)+COUNTIFS('Admin &amp; Adviser'!$G$2:$G$2000,$A20)+COUNTIFS('SBO Officer'!$G$2:$G$2000,$A20)+COUNTIFS('Student'!$G$2:$G$2000,$A20)+COUNTIFS('General'!$G$2:$G$2000,$A20)</f>
        <v>24</v>
      </c>
      <c r="C20" s="21">
        <f>COUNTIFS('SAO'!$G$2:$G$2000,$A20,'SAO'!$M$2:$M$2000,"Pass")+COUNTIFS('Department Head'!$G$2:$G$2000,$A20,'Department Head'!$M$2:$M$2000,"Pass")+COUNTIFS('Admin &amp; Adviser'!$G$2:$G$2000,$A20,'Admin &amp; Adviser'!$M$2:$M$2000,"Pass")+COUNTIFS('SBO Officer'!$G$2:$G$2000,$A20,'SBO Officer'!$M$2:$M$2000,"Pass")+COUNTIFS('Student'!$G$2:$G$2000,$A20,'Student'!$M$2:$M$2000,"Pass")+COUNTIFS('General'!$G$2:$G$2000,$A20,'General'!$M$2:$M$2000,"Pass")</f>
        <v>0</v>
      </c>
      <c r="D20" s="21">
        <f>COUNTIFS('SAO'!$G$2:$G$2000,$A20,'SAO'!$M$2:$M$2000,"Fail")+COUNTIFS('Department Head'!$G$2:$G$2000,$A20,'Department Head'!$M$2:$M$2000,"Fail")+COUNTIFS('Admin &amp; Adviser'!$G$2:$G$2000,$A20,'Admin &amp; Adviser'!$M$2:$M$2000,"Fail")+COUNTIFS('SBO Officer'!$G$2:$G$2000,$A20,'SBO Officer'!$M$2:$M$2000,"Fail")+COUNTIFS('Student'!$G$2:$G$2000,$A20,'Student'!$M$2:$M$2000,"Fail")+COUNTIFS('General'!$G$2:$G$2000,$A20,'General'!$M$2:$M$2000,"Fail")</f>
        <v>0</v>
      </c>
      <c r="E20" s="21">
        <f>COUNTIFS('SAO'!$G$2:$G$2000,$A20,'SAO'!$M$2:$M$2000,"Blocked")+COUNTIFS('Department Head'!$G$2:$G$2000,$A20,'Department Head'!$M$2:$M$2000,"Blocked")+COUNTIFS('Admin &amp; Adviser'!$G$2:$G$2000,$A20,'Admin &amp; Adviser'!$M$2:$M$2000,"Blocked")+COUNTIFS('SBO Officer'!$G$2:$G$2000,$A20,'SBO Officer'!$M$2:$M$2000,"Blocked")+COUNTIFS('Student'!$G$2:$G$2000,$A20,'Student'!$M$2:$M$2000,"Blocked")+COUNTIFS('General'!$G$2:$G$2000,$A20,'General'!$M$2:$M$2000,"Blocked")</f>
        <v>0</v>
      </c>
    </row>
    <row r="21" ht="32" customHeight="1" spans="1:5" x14ac:dyDescent="0.25">
      <c r="A21" s="6" t="s">
        <v>79</v>
      </c>
      <c r="B21" s="21">
        <f>COUNTIFS('SAO'!$G$2:$G$2000,$A21)+COUNTIFS('Department Head'!$G$2:$G$2000,$A21)+COUNTIFS('Admin &amp; Adviser'!$G$2:$G$2000,$A21)+COUNTIFS('SBO Officer'!$G$2:$G$2000,$A21)+COUNTIFS('Student'!$G$2:$G$2000,$A21)+COUNTIFS('General'!$G$2:$G$2000,$A21)</f>
        <v>25</v>
      </c>
      <c r="C21" s="21">
        <f>COUNTIFS('SAO'!$G$2:$G$2000,$A21,'SAO'!$M$2:$M$2000,"Pass")+COUNTIFS('Department Head'!$G$2:$G$2000,$A21,'Department Head'!$M$2:$M$2000,"Pass")+COUNTIFS('Admin &amp; Adviser'!$G$2:$G$2000,$A21,'Admin &amp; Adviser'!$M$2:$M$2000,"Pass")+COUNTIFS('SBO Officer'!$G$2:$G$2000,$A21,'SBO Officer'!$M$2:$M$2000,"Pass")+COUNTIFS('Student'!$G$2:$G$2000,$A21,'Student'!$M$2:$M$2000,"Pass")+COUNTIFS('General'!$G$2:$G$2000,$A21,'General'!$M$2:$M$2000,"Pass")</f>
        <v>0</v>
      </c>
      <c r="D21" s="21">
        <f>COUNTIFS('SAO'!$G$2:$G$2000,$A21,'SAO'!$M$2:$M$2000,"Fail")+COUNTIFS('Department Head'!$G$2:$G$2000,$A21,'Department Head'!$M$2:$M$2000,"Fail")+COUNTIFS('Admin &amp; Adviser'!$G$2:$G$2000,$A21,'Admin &amp; Adviser'!$M$2:$M$2000,"Fail")+COUNTIFS('SBO Officer'!$G$2:$G$2000,$A21,'SBO Officer'!$M$2:$M$2000,"Fail")+COUNTIFS('Student'!$G$2:$G$2000,$A21,'Student'!$M$2:$M$2000,"Fail")+COUNTIFS('General'!$G$2:$G$2000,$A21,'General'!$M$2:$M$2000,"Fail")</f>
        <v>0</v>
      </c>
      <c r="E21" s="21">
        <f>COUNTIFS('SAO'!$G$2:$G$2000,$A21,'SAO'!$M$2:$M$2000,"Blocked")+COUNTIFS('Department Head'!$G$2:$G$2000,$A21,'Department Head'!$M$2:$M$2000,"Blocked")+COUNTIFS('Admin &amp; Adviser'!$G$2:$G$2000,$A21,'Admin &amp; Adviser'!$M$2:$M$2000,"Blocked")+COUNTIFS('SBO Officer'!$G$2:$G$2000,$A21,'SBO Officer'!$M$2:$M$2000,"Blocked")+COUNTIFS('Student'!$G$2:$G$2000,$A21,'Student'!$M$2:$M$2000,"Blocked")+COUNTIFS('General'!$G$2:$G$2000,$A21,'General'!$M$2:$M$2000,"Blocked")</f>
        <v>0</v>
      </c>
    </row>
    <row r="22" ht="32" customHeight="1" spans="1:5" x14ac:dyDescent="0.25">
      <c r="A22" s="6" t="s">
        <v>80</v>
      </c>
      <c r="B22" s="21">
        <f>COUNTIFS('SAO'!$G$2:$G$2000,$A22)+COUNTIFS('Department Head'!$G$2:$G$2000,$A22)+COUNTIFS('Admin &amp; Adviser'!$G$2:$G$2000,$A22)+COUNTIFS('SBO Officer'!$G$2:$G$2000,$A22)+COUNTIFS('Student'!$G$2:$G$2000,$A22)+COUNTIFS('General'!$G$2:$G$2000,$A22)</f>
        <v>731</v>
      </c>
      <c r="C22" s="21">
        <f>COUNTIFS('SAO'!$G$2:$G$2000,$A22,'SAO'!$M$2:$M$2000,"Pass")+COUNTIFS('Department Head'!$G$2:$G$2000,$A22,'Department Head'!$M$2:$M$2000,"Pass")+COUNTIFS('Admin &amp; Adviser'!$G$2:$G$2000,$A22,'Admin &amp; Adviser'!$M$2:$M$2000,"Pass")+COUNTIFS('SBO Officer'!$G$2:$G$2000,$A22,'SBO Officer'!$M$2:$M$2000,"Pass")+COUNTIFS('Student'!$G$2:$G$2000,$A22,'Student'!$M$2:$M$2000,"Pass")+COUNTIFS('General'!$G$2:$G$2000,$A22,'General'!$M$2:$M$2000,"Pass")</f>
        <v>0</v>
      </c>
      <c r="D22" s="21">
        <f>COUNTIFS('SAO'!$G$2:$G$2000,$A22,'SAO'!$M$2:$M$2000,"Fail")+COUNTIFS('Department Head'!$G$2:$G$2000,$A22,'Department Head'!$M$2:$M$2000,"Fail")+COUNTIFS('Admin &amp; Adviser'!$G$2:$G$2000,$A22,'Admin &amp; Adviser'!$M$2:$M$2000,"Fail")+COUNTIFS('SBO Officer'!$G$2:$G$2000,$A22,'SBO Officer'!$M$2:$M$2000,"Fail")+COUNTIFS('Student'!$G$2:$G$2000,$A22,'Student'!$M$2:$M$2000,"Fail")+COUNTIFS('General'!$G$2:$G$2000,$A22,'General'!$M$2:$M$2000,"Fail")</f>
        <v>0</v>
      </c>
      <c r="E22" s="21">
        <f>COUNTIFS('SAO'!$G$2:$G$2000,$A22,'SAO'!$M$2:$M$2000,"Blocked")+COUNTIFS('Department Head'!$G$2:$G$2000,$A22,'Department Head'!$M$2:$M$2000,"Blocked")+COUNTIFS('Admin &amp; Adviser'!$G$2:$G$2000,$A22,'Admin &amp; Adviser'!$M$2:$M$2000,"Blocked")+COUNTIFS('SBO Officer'!$G$2:$G$2000,$A22,'SBO Officer'!$M$2:$M$2000,"Blocked")+COUNTIFS('Student'!$G$2:$G$2000,$A22,'Student'!$M$2:$M$2000,"Blocked")+COUNTIFS('General'!$G$2:$G$2000,$A22,'General'!$M$2:$M$2000,"Blocked")</f>
        <v>0</v>
      </c>
    </row>
    <row r="23" ht="18" customHeight="1" spans="1:13" x14ac:dyDescent="0.25">
      <c r="A23" s="3" t="s">
        <v>81</v>
      </c>
      <c r="B23" s="3"/>
      <c r="C23" s="3"/>
      <c r="D23" s="3"/>
      <c r="E23" s="3"/>
      <c r="F23" s="3"/>
      <c r="G23" s="3"/>
      <c r="H23" s="3"/>
      <c r="I23" s="3"/>
      <c r="J23" s="3"/>
      <c r="K23" s="3"/>
      <c r="L23" s="3"/>
      <c r="M23" s="3"/>
    </row>
  </sheetData>
  <mergeCells count="7">
    <mergeCell ref="A1:M1"/>
    <mergeCell ref="A12:M12"/>
    <mergeCell ref="A13:M13"/>
    <mergeCell ref="A14:M14"/>
    <mergeCell ref="A15:M15"/>
    <mergeCell ref="A16:M16"/>
    <mergeCell ref="A23:M23"/>
  </mergeCells>
  <conditionalFormatting sqref="D4:D10">
    <cfRule type="cellIs" dxfId="0" priority="1" operator="greaterThan">
      <formula>0</formula>
    </cfRule>
  </conditionalFormatting>
  <conditionalFormatting sqref="E4:E10">
    <cfRule type="cellIs" dxfId="1" priority="2" operator="greaterThan">
      <formula>0</formula>
    </cfRule>
  </conditionalFormatting>
  <conditionalFormatting sqref="F4:F10">
    <cfRule type="cellIs" dxfId="2" priority="3" operator="greaterThan">
      <formula>0</formula>
    </cfRule>
  </conditionalFormatting>
  <conditionalFormatting sqref="J4:J10">
    <cfRule type="cellIs" dxfId="3" priority="4" operator="greaterThan">
      <formula>0</formula>
    </cfRule>
  </conditionalFormatting>
  <conditionalFormatting sqref="H4:I10">
    <cfRule type="dataBar" priority="5">
      <dataBar>
        <cfvo type="num" val="0"/>
        <cfvo type="num" val="1"/>
        <color rgb="FF63BE7B"/>
      </dataBar>
      <extLst>
        <ext xmlns:x14="http://schemas.microsoft.com/office/spreadsheetml/2009/9/main" uri="{B025F937-C7B1-47D3-B67F-A62EFF666E3E}">
          <x14:id>{18821852-7557-4B39-ABAF-B05BB435070A}</x14:id>
        </ext>
      </extLst>
    </cfRule>
  </conditionalFormatting>
  <pageMargins left="0.7" right="0.7" top="0.75" bottom="0.75" header="0.3" footer="0.3"/>
  <pageSetup orientation="portrait" horizontalDpi="4294967295" verticalDpi="4294967295" scale="100" fitToWidth="1" fitToHeight="1"/>
  <extLst>
    <ext xmlns:x14="http://schemas.microsoft.com/office/spreadsheetml/2009/9/main" uri="{78C0D931-6437-407d-A8EE-F0AAD7539E65}">
      <x14:conditionalFormattings>
        <x14:conditionalFormatting xmlns:xm="http://schemas.microsoft.com/office/excel/2006/main">
          <x14:cfRule type="dataBar" id="{18821852-7557-4B39-ABAF-B05BB435070A}">
            <x14:dataBar minLength="0" maxLength="100">
              <x14:cfvo type="num">
                <xm:f>0</xm:f>
              </x14:cfvo>
              <x14:cfvo type="num">
                <xm:f>1</xm:f>
              </x14:cfvo>
            </x14:dataBar>
          </x14:cfRule>
          <xm:sqref>H4:I10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15"/>
  <sheetViews>
    <sheetView workbookViewId="0">
      <pane xSplit="3" ySplit="1" topLeftCell="D2" activePane="bottomRight" state="frozen"/>
      <selection pane="bottomRight"/>
    </sheetView>
  </sheetViews>
  <sheetFormatPr defaultRowHeight="15" outlineLevelRow="0" outlineLevelCol="0" x14ac:dyDescent="55"/>
  <cols>
    <col min="1" max="1" width="12" customWidth="1"/>
    <col min="2" max="2" width="20" customWidth="1"/>
    <col min="3" max="3" width="38" customWidth="1"/>
    <col min="4" max="4" width="13" customWidth="1"/>
    <col min="5" max="5" width="10" customWidth="1"/>
    <col min="6" max="6" width="12" customWidth="1"/>
    <col min="7" max="7" width="24" customWidth="1"/>
    <col min="8" max="8" width="16" customWidth="1"/>
    <col min="9" max="9" width="34" customWidth="1"/>
    <col min="10" max="10" width="52" customWidth="1"/>
    <col min="11" max="11" width="40" customWidth="1"/>
    <col min="12" max="12" width="36" customWidth="1"/>
    <col min="13" max="14" width="12" customWidth="1"/>
    <col min="15" max="15" width="18" customWidth="1"/>
    <col min="16" max="16" width="13" customWidth="1"/>
    <col min="17" max="17" width="24" customWidth="1"/>
    <col min="18" max="18" width="44" customWidth="1"/>
    <col min="19" max="19" width="30" customWidth="1"/>
  </cols>
  <sheetData>
    <row r="1" ht="30" customHeight="1" spans="1:19" x14ac:dyDescent="0.25">
      <c r="A1" s="13" t="s">
        <v>82</v>
      </c>
      <c r="B1" s="13" t="s">
        <v>83</v>
      </c>
      <c r="C1" s="13" t="s">
        <v>84</v>
      </c>
      <c r="D1" s="13" t="s">
        <v>85</v>
      </c>
      <c r="E1" s="13" t="s">
        <v>86</v>
      </c>
      <c r="F1" s="13" t="s">
        <v>87</v>
      </c>
      <c r="G1" s="13" t="s">
        <v>77</v>
      </c>
      <c r="H1" s="13" t="s">
        <v>88</v>
      </c>
      <c r="I1" s="13" t="s">
        <v>89</v>
      </c>
      <c r="J1" s="13" t="s">
        <v>90</v>
      </c>
      <c r="K1" s="13" t="s">
        <v>91</v>
      </c>
      <c r="L1" s="13" t="s">
        <v>92</v>
      </c>
      <c r="M1" s="5" t="s">
        <v>93</v>
      </c>
      <c r="N1" s="5" t="s">
        <v>94</v>
      </c>
      <c r="O1" s="5" t="s">
        <v>95</v>
      </c>
      <c r="P1" s="5" t="s">
        <v>96</v>
      </c>
      <c r="Q1" s="5" t="s">
        <v>97</v>
      </c>
      <c r="R1" s="5" t="s">
        <v>98</v>
      </c>
      <c r="S1" s="5" t="s">
        <v>99</v>
      </c>
    </row>
    <row r="2" spans="1:19" x14ac:dyDescent="0.25">
      <c r="A2" s="22" t="s">
        <v>100</v>
      </c>
      <c r="B2" s="6" t="s">
        <v>101</v>
      </c>
      <c r="C2" s="6" t="s">
        <v>102</v>
      </c>
      <c r="D2" s="6" t="s">
        <v>103</v>
      </c>
      <c r="E2" s="6" t="s">
        <v>104</v>
      </c>
      <c r="F2" s="6" t="s">
        <v>105</v>
      </c>
      <c r="G2" s="6" t="s">
        <v>80</v>
      </c>
      <c r="H2" s="6"/>
      <c r="I2" s="6" t="s">
        <v>106</v>
      </c>
      <c r="J2" s="6" t="s">
        <v>107</v>
      </c>
      <c r="K2" s="6" t="s">
        <v>108</v>
      </c>
      <c r="L2" s="23" t="s">
        <v>109</v>
      </c>
      <c r="M2" s="6" t="s">
        <v>33</v>
      </c>
      <c r="N2" s="6"/>
      <c r="O2" s="6"/>
      <c r="P2" s="24"/>
      <c r="Q2" s="6"/>
      <c r="R2" s="6"/>
      <c r="S2" s="6"/>
    </row>
    <row r="3" spans="1:19" x14ac:dyDescent="0.25">
      <c r="A3" s="22" t="s">
        <v>110</v>
      </c>
      <c r="B3" s="6" t="s">
        <v>101</v>
      </c>
      <c r="C3" s="6" t="s">
        <v>111</v>
      </c>
      <c r="D3" s="6" t="s">
        <v>112</v>
      </c>
      <c r="E3" s="6" t="s">
        <v>113</v>
      </c>
      <c r="F3" s="6" t="s">
        <v>105</v>
      </c>
      <c r="G3" s="6" t="s">
        <v>80</v>
      </c>
      <c r="H3" s="6"/>
      <c r="I3" s="6" t="s">
        <v>114</v>
      </c>
      <c r="J3" s="6" t="s">
        <v>115</v>
      </c>
      <c r="K3" s="6" t="s">
        <v>116</v>
      </c>
      <c r="L3" s="23" t="s">
        <v>117</v>
      </c>
      <c r="M3" s="6" t="s">
        <v>33</v>
      </c>
      <c r="N3" s="6"/>
      <c r="O3" s="6"/>
      <c r="P3" s="24"/>
      <c r="Q3" s="6"/>
      <c r="R3" s="6"/>
      <c r="S3" s="6"/>
    </row>
    <row r="4" spans="1:19" x14ac:dyDescent="0.25">
      <c r="A4" s="22" t="s">
        <v>118</v>
      </c>
      <c r="B4" s="6" t="s">
        <v>101</v>
      </c>
      <c r="C4" s="6" t="s">
        <v>119</v>
      </c>
      <c r="D4" s="6" t="s">
        <v>120</v>
      </c>
      <c r="E4" s="6" t="s">
        <v>104</v>
      </c>
      <c r="F4" s="6" t="s">
        <v>121</v>
      </c>
      <c r="G4" s="6" t="s">
        <v>80</v>
      </c>
      <c r="H4" s="6"/>
      <c r="I4" s="6" t="s">
        <v>122</v>
      </c>
      <c r="J4" s="6" t="s">
        <v>123</v>
      </c>
      <c r="K4" s="6" t="s">
        <v>124</v>
      </c>
      <c r="L4" s="23"/>
      <c r="M4" s="6" t="s">
        <v>33</v>
      </c>
      <c r="N4" s="6"/>
      <c r="O4" s="6"/>
      <c r="P4" s="24"/>
      <c r="Q4" s="6"/>
      <c r="R4" s="6"/>
      <c r="S4" s="6"/>
    </row>
    <row r="5" spans="1:19" x14ac:dyDescent="0.25">
      <c r="A5" s="22" t="s">
        <v>125</v>
      </c>
      <c r="B5" s="6" t="s">
        <v>101</v>
      </c>
      <c r="C5" s="6" t="s">
        <v>126</v>
      </c>
      <c r="D5" s="6" t="s">
        <v>120</v>
      </c>
      <c r="E5" s="6" t="s">
        <v>113</v>
      </c>
      <c r="F5" s="6" t="s">
        <v>127</v>
      </c>
      <c r="G5" s="6" t="s">
        <v>80</v>
      </c>
      <c r="H5" s="6"/>
      <c r="I5" s="6" t="s">
        <v>128</v>
      </c>
      <c r="J5" s="6" t="s">
        <v>129</v>
      </c>
      <c r="K5" s="6" t="s">
        <v>130</v>
      </c>
      <c r="L5" s="23" t="s">
        <v>131</v>
      </c>
      <c r="M5" s="6" t="s">
        <v>33</v>
      </c>
      <c r="N5" s="6"/>
      <c r="O5" s="6"/>
      <c r="P5" s="24"/>
      <c r="Q5" s="6"/>
      <c r="R5" s="6"/>
      <c r="S5" s="6"/>
    </row>
    <row r="6" spans="1:19" x14ac:dyDescent="0.25">
      <c r="A6" s="22" t="s">
        <v>132</v>
      </c>
      <c r="B6" s="6" t="s">
        <v>101</v>
      </c>
      <c r="C6" s="6" t="s">
        <v>133</v>
      </c>
      <c r="D6" s="6" t="s">
        <v>103</v>
      </c>
      <c r="E6" s="6" t="s">
        <v>113</v>
      </c>
      <c r="F6" s="6" t="s">
        <v>105</v>
      </c>
      <c r="G6" s="6" t="s">
        <v>80</v>
      </c>
      <c r="H6" s="6"/>
      <c r="I6" s="6" t="s">
        <v>122</v>
      </c>
      <c r="J6" s="6" t="s">
        <v>134</v>
      </c>
      <c r="K6" s="6" t="s">
        <v>135</v>
      </c>
      <c r="L6" s="23" t="s">
        <v>136</v>
      </c>
      <c r="M6" s="6" t="s">
        <v>33</v>
      </c>
      <c r="N6" s="6"/>
      <c r="O6" s="6"/>
      <c r="P6" s="24"/>
      <c r="Q6" s="6"/>
      <c r="R6" s="6"/>
      <c r="S6" s="6"/>
    </row>
    <row r="7" spans="1:19" x14ac:dyDescent="0.25">
      <c r="A7" s="22" t="s">
        <v>137</v>
      </c>
      <c r="B7" s="6" t="s">
        <v>138</v>
      </c>
      <c r="C7" s="6" t="s">
        <v>139</v>
      </c>
      <c r="D7" s="6" t="s">
        <v>140</v>
      </c>
      <c r="E7" s="6" t="s">
        <v>104</v>
      </c>
      <c r="F7" s="6" t="s">
        <v>121</v>
      </c>
      <c r="G7" s="6" t="s">
        <v>80</v>
      </c>
      <c r="H7" s="6"/>
      <c r="I7" s="6" t="s">
        <v>122</v>
      </c>
      <c r="J7" s="6" t="s">
        <v>141</v>
      </c>
      <c r="K7" s="6" t="s">
        <v>142</v>
      </c>
      <c r="L7" s="23"/>
      <c r="M7" s="6" t="s">
        <v>33</v>
      </c>
      <c r="N7" s="6"/>
      <c r="O7" s="6"/>
      <c r="P7" s="24"/>
      <c r="Q7" s="6"/>
      <c r="R7" s="6"/>
      <c r="S7" s="6"/>
    </row>
    <row r="8" spans="1:19" x14ac:dyDescent="0.25">
      <c r="A8" s="22" t="s">
        <v>143</v>
      </c>
      <c r="B8" s="6" t="s">
        <v>138</v>
      </c>
      <c r="C8" s="6" t="s">
        <v>144</v>
      </c>
      <c r="D8" s="6" t="s">
        <v>103</v>
      </c>
      <c r="E8" s="6" t="s">
        <v>145</v>
      </c>
      <c r="F8" s="6" t="s">
        <v>121</v>
      </c>
      <c r="G8" s="6" t="s">
        <v>80</v>
      </c>
      <c r="H8" s="6"/>
      <c r="I8" s="6" t="s">
        <v>122</v>
      </c>
      <c r="J8" s="6" t="s">
        <v>146</v>
      </c>
      <c r="K8" s="6" t="s">
        <v>147</v>
      </c>
      <c r="L8" s="23"/>
      <c r="M8" s="6" t="s">
        <v>33</v>
      </c>
      <c r="N8" s="6"/>
      <c r="O8" s="6"/>
      <c r="P8" s="24"/>
      <c r="Q8" s="6"/>
      <c r="R8" s="6"/>
      <c r="S8" s="6"/>
    </row>
    <row r="9" spans="1:19" x14ac:dyDescent="0.25">
      <c r="A9" s="22" t="s">
        <v>148</v>
      </c>
      <c r="B9" s="6" t="s">
        <v>138</v>
      </c>
      <c r="C9" s="6" t="s">
        <v>149</v>
      </c>
      <c r="D9" s="6" t="s">
        <v>140</v>
      </c>
      <c r="E9" s="6" t="s">
        <v>104</v>
      </c>
      <c r="F9" s="6" t="s">
        <v>105</v>
      </c>
      <c r="G9" s="6" t="s">
        <v>80</v>
      </c>
      <c r="H9" s="6"/>
      <c r="I9" s="6" t="s">
        <v>150</v>
      </c>
      <c r="J9" s="6" t="s">
        <v>151</v>
      </c>
      <c r="K9" s="6" t="s">
        <v>152</v>
      </c>
      <c r="L9" s="23"/>
      <c r="M9" s="6" t="s">
        <v>33</v>
      </c>
      <c r="N9" s="6"/>
      <c r="O9" s="6"/>
      <c r="P9" s="24"/>
      <c r="Q9" s="6"/>
      <c r="R9" s="6"/>
      <c r="S9" s="6"/>
    </row>
    <row r="10" spans="1:19" x14ac:dyDescent="0.25">
      <c r="A10" s="22" t="s">
        <v>153</v>
      </c>
      <c r="B10" s="6" t="s">
        <v>138</v>
      </c>
      <c r="C10" s="6" t="s">
        <v>154</v>
      </c>
      <c r="D10" s="6" t="s">
        <v>140</v>
      </c>
      <c r="E10" s="6" t="s">
        <v>104</v>
      </c>
      <c r="F10" s="6" t="s">
        <v>121</v>
      </c>
      <c r="G10" s="6" t="s">
        <v>80</v>
      </c>
      <c r="H10" s="6"/>
      <c r="I10" s="6" t="s">
        <v>155</v>
      </c>
      <c r="J10" s="6" t="s">
        <v>156</v>
      </c>
      <c r="K10" s="6" t="s">
        <v>157</v>
      </c>
      <c r="L10" s="23"/>
      <c r="M10" s="6" t="s">
        <v>33</v>
      </c>
      <c r="N10" s="6"/>
      <c r="O10" s="6"/>
      <c r="P10" s="24"/>
      <c r="Q10" s="6"/>
      <c r="R10" s="6"/>
      <c r="S10" s="6"/>
    </row>
    <row r="11" spans="1:19" x14ac:dyDescent="0.25">
      <c r="A11" s="22" t="s">
        <v>158</v>
      </c>
      <c r="B11" s="6" t="s">
        <v>138</v>
      </c>
      <c r="C11" s="6" t="s">
        <v>159</v>
      </c>
      <c r="D11" s="6" t="s">
        <v>112</v>
      </c>
      <c r="E11" s="6" t="s">
        <v>104</v>
      </c>
      <c r="F11" s="6" t="s">
        <v>121</v>
      </c>
      <c r="G11" s="6" t="s">
        <v>80</v>
      </c>
      <c r="H11" s="6"/>
      <c r="I11" s="6" t="s">
        <v>160</v>
      </c>
      <c r="J11" s="6" t="s">
        <v>161</v>
      </c>
      <c r="K11" s="6" t="s">
        <v>162</v>
      </c>
      <c r="L11" s="23"/>
      <c r="M11" s="6" t="s">
        <v>33</v>
      </c>
      <c r="N11" s="6"/>
      <c r="O11" s="6"/>
      <c r="P11" s="24"/>
      <c r="Q11" s="6"/>
      <c r="R11" s="6"/>
      <c r="S11" s="6"/>
    </row>
    <row r="12" spans="1:19" x14ac:dyDescent="0.25">
      <c r="A12" s="22" t="s">
        <v>163</v>
      </c>
      <c r="B12" s="6" t="s">
        <v>164</v>
      </c>
      <c r="C12" s="6" t="s">
        <v>165</v>
      </c>
      <c r="D12" s="6" t="s">
        <v>103</v>
      </c>
      <c r="E12" s="6" t="s">
        <v>104</v>
      </c>
      <c r="F12" s="6" t="s">
        <v>105</v>
      </c>
      <c r="G12" s="6" t="s">
        <v>80</v>
      </c>
      <c r="H12" s="6"/>
      <c r="I12" s="6" t="s">
        <v>166</v>
      </c>
      <c r="J12" s="6" t="s">
        <v>167</v>
      </c>
      <c r="K12" s="6" t="s">
        <v>168</v>
      </c>
      <c r="L12" s="23" t="s">
        <v>169</v>
      </c>
      <c r="M12" s="6" t="s">
        <v>33</v>
      </c>
      <c r="N12" s="6"/>
      <c r="O12" s="6"/>
      <c r="P12" s="24"/>
      <c r="Q12" s="6"/>
      <c r="R12" s="6"/>
      <c r="S12" s="6"/>
    </row>
    <row r="13" spans="1:19" x14ac:dyDescent="0.25">
      <c r="A13" s="22" t="s">
        <v>170</v>
      </c>
      <c r="B13" s="6" t="s">
        <v>164</v>
      </c>
      <c r="C13" s="6" t="s">
        <v>171</v>
      </c>
      <c r="D13" s="6" t="s">
        <v>103</v>
      </c>
      <c r="E13" s="6" t="s">
        <v>113</v>
      </c>
      <c r="F13" s="6" t="s">
        <v>105</v>
      </c>
      <c r="G13" s="6" t="s">
        <v>80</v>
      </c>
      <c r="H13" s="6"/>
      <c r="I13" s="6" t="s">
        <v>122</v>
      </c>
      <c r="J13" s="6" t="s">
        <v>172</v>
      </c>
      <c r="K13" s="6" t="s">
        <v>173</v>
      </c>
      <c r="L13" s="23"/>
      <c r="M13" s="6" t="s">
        <v>33</v>
      </c>
      <c r="N13" s="6"/>
      <c r="O13" s="6"/>
      <c r="P13" s="24"/>
      <c r="Q13" s="6"/>
      <c r="R13" s="6"/>
      <c r="S13" s="6"/>
    </row>
    <row r="14" spans="1:19" x14ac:dyDescent="0.25">
      <c r="A14" s="22" t="s">
        <v>174</v>
      </c>
      <c r="B14" s="6" t="s">
        <v>164</v>
      </c>
      <c r="C14" s="6" t="s">
        <v>175</v>
      </c>
      <c r="D14" s="6" t="s">
        <v>103</v>
      </c>
      <c r="E14" s="6" t="s">
        <v>113</v>
      </c>
      <c r="F14" s="6" t="s">
        <v>105</v>
      </c>
      <c r="G14" s="6" t="s">
        <v>80</v>
      </c>
      <c r="H14" s="6"/>
      <c r="I14" s="6" t="s">
        <v>122</v>
      </c>
      <c r="J14" s="6" t="s">
        <v>176</v>
      </c>
      <c r="K14" s="6" t="s">
        <v>177</v>
      </c>
      <c r="L14" s="23"/>
      <c r="M14" s="6" t="s">
        <v>33</v>
      </c>
      <c r="N14" s="6"/>
      <c r="O14" s="6"/>
      <c r="P14" s="24"/>
      <c r="Q14" s="6"/>
      <c r="R14" s="6"/>
      <c r="S14" s="6"/>
    </row>
    <row r="15" spans="1:19" x14ac:dyDescent="0.25">
      <c r="A15" s="22" t="s">
        <v>178</v>
      </c>
      <c r="B15" s="6" t="s">
        <v>179</v>
      </c>
      <c r="C15" s="6" t="s">
        <v>180</v>
      </c>
      <c r="D15" s="6" t="s">
        <v>103</v>
      </c>
      <c r="E15" s="6" t="s">
        <v>104</v>
      </c>
      <c r="F15" s="6" t="s">
        <v>105</v>
      </c>
      <c r="G15" s="6" t="s">
        <v>80</v>
      </c>
      <c r="H15" s="6"/>
      <c r="I15" s="6" t="s">
        <v>122</v>
      </c>
      <c r="J15" s="6" t="s">
        <v>181</v>
      </c>
      <c r="K15" s="6" t="s">
        <v>182</v>
      </c>
      <c r="L15" s="23"/>
      <c r="M15" s="6" t="s">
        <v>33</v>
      </c>
      <c r="N15" s="6"/>
      <c r="O15" s="6"/>
      <c r="P15" s="24"/>
      <c r="Q15" s="6"/>
      <c r="R15" s="6"/>
      <c r="S15" s="6"/>
    </row>
    <row r="16" spans="1:19" x14ac:dyDescent="0.25">
      <c r="A16" s="22" t="s">
        <v>183</v>
      </c>
      <c r="B16" s="6" t="s">
        <v>179</v>
      </c>
      <c r="C16" s="6" t="s">
        <v>184</v>
      </c>
      <c r="D16" s="6" t="s">
        <v>103</v>
      </c>
      <c r="E16" s="6" t="s">
        <v>104</v>
      </c>
      <c r="F16" s="6" t="s">
        <v>121</v>
      </c>
      <c r="G16" s="6" t="s">
        <v>80</v>
      </c>
      <c r="H16" s="6"/>
      <c r="I16" s="6" t="s">
        <v>185</v>
      </c>
      <c r="J16" s="6" t="s">
        <v>186</v>
      </c>
      <c r="K16" s="6" t="s">
        <v>187</v>
      </c>
      <c r="L16" s="23"/>
      <c r="M16" s="6" t="s">
        <v>33</v>
      </c>
      <c r="N16" s="6"/>
      <c r="O16" s="6"/>
      <c r="P16" s="24"/>
      <c r="Q16" s="6"/>
      <c r="R16" s="6"/>
      <c r="S16" s="6"/>
    </row>
    <row r="17" spans="1:19" x14ac:dyDescent="0.25">
      <c r="A17" s="22" t="s">
        <v>188</v>
      </c>
      <c r="B17" s="6" t="s">
        <v>179</v>
      </c>
      <c r="C17" s="6" t="s">
        <v>189</v>
      </c>
      <c r="D17" s="6" t="s">
        <v>103</v>
      </c>
      <c r="E17" s="6" t="s">
        <v>104</v>
      </c>
      <c r="F17" s="6" t="s">
        <v>105</v>
      </c>
      <c r="G17" s="6" t="s">
        <v>80</v>
      </c>
      <c r="H17" s="6"/>
      <c r="I17" s="6" t="s">
        <v>190</v>
      </c>
      <c r="J17" s="6" t="s">
        <v>191</v>
      </c>
      <c r="K17" s="6" t="s">
        <v>192</v>
      </c>
      <c r="L17" s="23"/>
      <c r="M17" s="6" t="s">
        <v>33</v>
      </c>
      <c r="N17" s="6"/>
      <c r="O17" s="6"/>
      <c r="P17" s="24"/>
      <c r="Q17" s="6"/>
      <c r="R17" s="6"/>
      <c r="S17" s="6"/>
    </row>
    <row r="18" spans="1:19" x14ac:dyDescent="0.25">
      <c r="A18" s="22" t="s">
        <v>193</v>
      </c>
      <c r="B18" s="6" t="s">
        <v>194</v>
      </c>
      <c r="C18" s="6" t="s">
        <v>195</v>
      </c>
      <c r="D18" s="6" t="s">
        <v>103</v>
      </c>
      <c r="E18" s="6" t="s">
        <v>104</v>
      </c>
      <c r="F18" s="6" t="s">
        <v>105</v>
      </c>
      <c r="G18" s="6" t="s">
        <v>80</v>
      </c>
      <c r="H18" s="6"/>
      <c r="I18" s="6" t="s">
        <v>122</v>
      </c>
      <c r="J18" s="6" t="s">
        <v>196</v>
      </c>
      <c r="K18" s="6" t="s">
        <v>197</v>
      </c>
      <c r="L18" s="23"/>
      <c r="M18" s="6" t="s">
        <v>33</v>
      </c>
      <c r="N18" s="6"/>
      <c r="O18" s="6"/>
      <c r="P18" s="24"/>
      <c r="Q18" s="6"/>
      <c r="R18" s="6"/>
      <c r="S18" s="6"/>
    </row>
    <row r="19" spans="1:19" x14ac:dyDescent="0.25">
      <c r="A19" s="22" t="s">
        <v>198</v>
      </c>
      <c r="B19" s="6" t="s">
        <v>194</v>
      </c>
      <c r="C19" s="6" t="s">
        <v>199</v>
      </c>
      <c r="D19" s="6" t="s">
        <v>103</v>
      </c>
      <c r="E19" s="6" t="s">
        <v>113</v>
      </c>
      <c r="F19" s="6" t="s">
        <v>105</v>
      </c>
      <c r="G19" s="6" t="s">
        <v>80</v>
      </c>
      <c r="H19" s="6"/>
      <c r="I19" s="6" t="s">
        <v>122</v>
      </c>
      <c r="J19" s="6" t="s">
        <v>200</v>
      </c>
      <c r="K19" s="6" t="s">
        <v>201</v>
      </c>
      <c r="L19" s="23"/>
      <c r="M19" s="6" t="s">
        <v>33</v>
      </c>
      <c r="N19" s="6"/>
      <c r="O19" s="6"/>
      <c r="P19" s="24"/>
      <c r="Q19" s="6"/>
      <c r="R19" s="6"/>
      <c r="S19" s="6"/>
    </row>
    <row r="20" spans="1:19" x14ac:dyDescent="0.25">
      <c r="A20" s="22" t="s">
        <v>202</v>
      </c>
      <c r="B20" s="6" t="s">
        <v>194</v>
      </c>
      <c r="C20" s="6" t="s">
        <v>203</v>
      </c>
      <c r="D20" s="6" t="s">
        <v>103</v>
      </c>
      <c r="E20" s="6" t="s">
        <v>104</v>
      </c>
      <c r="F20" s="6" t="s">
        <v>105</v>
      </c>
      <c r="G20" s="6" t="s">
        <v>80</v>
      </c>
      <c r="H20" s="6"/>
      <c r="I20" s="6" t="s">
        <v>204</v>
      </c>
      <c r="J20" s="6" t="s">
        <v>205</v>
      </c>
      <c r="K20" s="6" t="s">
        <v>206</v>
      </c>
      <c r="L20" s="23"/>
      <c r="M20" s="6" t="s">
        <v>33</v>
      </c>
      <c r="N20" s="6"/>
      <c r="O20" s="6"/>
      <c r="P20" s="24"/>
      <c r="Q20" s="6"/>
      <c r="R20" s="6"/>
      <c r="S20" s="6"/>
    </row>
    <row r="21" spans="1:19" x14ac:dyDescent="0.25">
      <c r="A21" s="22" t="s">
        <v>207</v>
      </c>
      <c r="B21" s="6" t="s">
        <v>194</v>
      </c>
      <c r="C21" s="6" t="s">
        <v>208</v>
      </c>
      <c r="D21" s="6" t="s">
        <v>209</v>
      </c>
      <c r="E21" s="6" t="s">
        <v>104</v>
      </c>
      <c r="F21" s="6" t="s">
        <v>105</v>
      </c>
      <c r="G21" s="6" t="s">
        <v>80</v>
      </c>
      <c r="H21" s="6"/>
      <c r="I21" s="6" t="s">
        <v>210</v>
      </c>
      <c r="J21" s="6" t="s">
        <v>211</v>
      </c>
      <c r="K21" s="6" t="s">
        <v>212</v>
      </c>
      <c r="L21" s="23"/>
      <c r="M21" s="6" t="s">
        <v>33</v>
      </c>
      <c r="N21" s="6"/>
      <c r="O21" s="6"/>
      <c r="P21" s="24"/>
      <c r="Q21" s="6"/>
      <c r="R21" s="6"/>
      <c r="S21" s="6"/>
    </row>
    <row r="22" spans="1:19" x14ac:dyDescent="0.25">
      <c r="A22" s="22" t="s">
        <v>213</v>
      </c>
      <c r="B22" s="6" t="s">
        <v>194</v>
      </c>
      <c r="C22" s="6" t="s">
        <v>214</v>
      </c>
      <c r="D22" s="6" t="s">
        <v>103</v>
      </c>
      <c r="E22" s="6" t="s">
        <v>104</v>
      </c>
      <c r="F22" s="6" t="s">
        <v>105</v>
      </c>
      <c r="G22" s="6" t="s">
        <v>80</v>
      </c>
      <c r="H22" s="6"/>
      <c r="I22" s="6" t="s">
        <v>215</v>
      </c>
      <c r="J22" s="6" t="s">
        <v>216</v>
      </c>
      <c r="K22" s="6" t="s">
        <v>217</v>
      </c>
      <c r="L22" s="23"/>
      <c r="M22" s="6" t="s">
        <v>33</v>
      </c>
      <c r="N22" s="6"/>
      <c r="O22" s="6"/>
      <c r="P22" s="24"/>
      <c r="Q22" s="6"/>
      <c r="R22" s="6"/>
      <c r="S22" s="6"/>
    </row>
    <row r="23" spans="1:19" x14ac:dyDescent="0.25">
      <c r="A23" s="22" t="s">
        <v>218</v>
      </c>
      <c r="B23" s="6" t="s">
        <v>194</v>
      </c>
      <c r="C23" s="6" t="s">
        <v>219</v>
      </c>
      <c r="D23" s="6" t="s">
        <v>103</v>
      </c>
      <c r="E23" s="6" t="s">
        <v>104</v>
      </c>
      <c r="F23" s="6" t="s">
        <v>105</v>
      </c>
      <c r="G23" s="6" t="s">
        <v>80</v>
      </c>
      <c r="H23" s="6"/>
      <c r="I23" s="6" t="s">
        <v>210</v>
      </c>
      <c r="J23" s="6" t="s">
        <v>220</v>
      </c>
      <c r="K23" s="6" t="s">
        <v>221</v>
      </c>
      <c r="L23" s="23"/>
      <c r="M23" s="6" t="s">
        <v>33</v>
      </c>
      <c r="N23" s="6"/>
      <c r="O23" s="6"/>
      <c r="P23" s="24"/>
      <c r="Q23" s="6"/>
      <c r="R23" s="6"/>
      <c r="S23" s="6"/>
    </row>
    <row r="24" spans="1:19" x14ac:dyDescent="0.25">
      <c r="A24" s="22" t="s">
        <v>222</v>
      </c>
      <c r="B24" s="6" t="s">
        <v>194</v>
      </c>
      <c r="C24" s="6" t="s">
        <v>223</v>
      </c>
      <c r="D24" s="6" t="s">
        <v>112</v>
      </c>
      <c r="E24" s="6" t="s">
        <v>113</v>
      </c>
      <c r="F24" s="6" t="s">
        <v>121</v>
      </c>
      <c r="G24" s="6" t="s">
        <v>80</v>
      </c>
      <c r="H24" s="6"/>
      <c r="I24" s="6" t="s">
        <v>224</v>
      </c>
      <c r="J24" s="6" t="s">
        <v>225</v>
      </c>
      <c r="K24" s="6" t="s">
        <v>226</v>
      </c>
      <c r="L24" s="23"/>
      <c r="M24" s="6" t="s">
        <v>33</v>
      </c>
      <c r="N24" s="6"/>
      <c r="O24" s="6"/>
      <c r="P24" s="24"/>
      <c r="Q24" s="6"/>
      <c r="R24" s="6"/>
      <c r="S24" s="6"/>
    </row>
    <row r="25" spans="1:19" x14ac:dyDescent="0.25">
      <c r="A25" s="22" t="s">
        <v>227</v>
      </c>
      <c r="B25" s="6" t="s">
        <v>194</v>
      </c>
      <c r="C25" s="6" t="s">
        <v>228</v>
      </c>
      <c r="D25" s="6" t="s">
        <v>103</v>
      </c>
      <c r="E25" s="6" t="s">
        <v>104</v>
      </c>
      <c r="F25" s="6" t="s">
        <v>105</v>
      </c>
      <c r="G25" s="6" t="s">
        <v>80</v>
      </c>
      <c r="H25" s="6"/>
      <c r="I25" s="6" t="s">
        <v>229</v>
      </c>
      <c r="J25" s="6" t="s">
        <v>230</v>
      </c>
      <c r="K25" s="6" t="s">
        <v>231</v>
      </c>
      <c r="L25" s="23"/>
      <c r="M25" s="6" t="s">
        <v>33</v>
      </c>
      <c r="N25" s="6"/>
      <c r="O25" s="6"/>
      <c r="P25" s="24"/>
      <c r="Q25" s="6"/>
      <c r="R25" s="6"/>
      <c r="S25" s="6"/>
    </row>
    <row r="26" spans="1:19" x14ac:dyDescent="0.25">
      <c r="A26" s="22" t="s">
        <v>232</v>
      </c>
      <c r="B26" s="6" t="s">
        <v>194</v>
      </c>
      <c r="C26" s="6" t="s">
        <v>233</v>
      </c>
      <c r="D26" s="6" t="s">
        <v>209</v>
      </c>
      <c r="E26" s="6" t="s">
        <v>113</v>
      </c>
      <c r="F26" s="6" t="s">
        <v>105</v>
      </c>
      <c r="G26" s="6" t="s">
        <v>80</v>
      </c>
      <c r="H26" s="6"/>
      <c r="I26" s="6" t="s">
        <v>234</v>
      </c>
      <c r="J26" s="6" t="s">
        <v>235</v>
      </c>
      <c r="K26" s="6" t="s">
        <v>236</v>
      </c>
      <c r="L26" s="23" t="s">
        <v>237</v>
      </c>
      <c r="M26" s="6" t="s">
        <v>33</v>
      </c>
      <c r="N26" s="6"/>
      <c r="O26" s="6"/>
      <c r="P26" s="24"/>
      <c r="Q26" s="6"/>
      <c r="R26" s="6"/>
      <c r="S26" s="6"/>
    </row>
    <row r="27" spans="1:19" x14ac:dyDescent="0.25">
      <c r="A27" s="22" t="s">
        <v>238</v>
      </c>
      <c r="B27" s="6" t="s">
        <v>194</v>
      </c>
      <c r="C27" s="6" t="s">
        <v>239</v>
      </c>
      <c r="D27" s="6" t="s">
        <v>103</v>
      </c>
      <c r="E27" s="6" t="s">
        <v>113</v>
      </c>
      <c r="F27" s="6" t="s">
        <v>121</v>
      </c>
      <c r="G27" s="6" t="s">
        <v>80</v>
      </c>
      <c r="H27" s="6"/>
      <c r="I27" s="6" t="s">
        <v>240</v>
      </c>
      <c r="J27" s="6" t="s">
        <v>241</v>
      </c>
      <c r="K27" s="6" t="s">
        <v>242</v>
      </c>
      <c r="L27" s="23"/>
      <c r="M27" s="6" t="s">
        <v>33</v>
      </c>
      <c r="N27" s="6"/>
      <c r="O27" s="6"/>
      <c r="P27" s="24"/>
      <c r="Q27" s="6"/>
      <c r="R27" s="6"/>
      <c r="S27" s="6"/>
    </row>
    <row r="28" spans="1:19" x14ac:dyDescent="0.25">
      <c r="A28" s="22" t="s">
        <v>243</v>
      </c>
      <c r="B28" s="6" t="s">
        <v>194</v>
      </c>
      <c r="C28" s="6" t="s">
        <v>244</v>
      </c>
      <c r="D28" s="6" t="s">
        <v>103</v>
      </c>
      <c r="E28" s="6" t="s">
        <v>104</v>
      </c>
      <c r="F28" s="6" t="s">
        <v>105</v>
      </c>
      <c r="G28" s="6" t="s">
        <v>80</v>
      </c>
      <c r="H28" s="6"/>
      <c r="I28" s="6" t="s">
        <v>245</v>
      </c>
      <c r="J28" s="6" t="s">
        <v>246</v>
      </c>
      <c r="K28" s="6" t="s">
        <v>247</v>
      </c>
      <c r="L28" s="23"/>
      <c r="M28" s="6" t="s">
        <v>33</v>
      </c>
      <c r="N28" s="6"/>
      <c r="O28" s="6"/>
      <c r="P28" s="24"/>
      <c r="Q28" s="6"/>
      <c r="R28" s="6"/>
      <c r="S28" s="6"/>
    </row>
    <row r="29" spans="1:19" x14ac:dyDescent="0.25">
      <c r="A29" s="22" t="s">
        <v>248</v>
      </c>
      <c r="B29" s="6" t="s">
        <v>194</v>
      </c>
      <c r="C29" s="6" t="s">
        <v>249</v>
      </c>
      <c r="D29" s="6" t="s">
        <v>140</v>
      </c>
      <c r="E29" s="6" t="s">
        <v>104</v>
      </c>
      <c r="F29" s="6" t="s">
        <v>105</v>
      </c>
      <c r="G29" s="6" t="s">
        <v>80</v>
      </c>
      <c r="H29" s="6"/>
      <c r="I29" s="6" t="s">
        <v>250</v>
      </c>
      <c r="J29" s="6" t="s">
        <v>251</v>
      </c>
      <c r="K29" s="6" t="s">
        <v>252</v>
      </c>
      <c r="L29" s="23"/>
      <c r="M29" s="6" t="s">
        <v>33</v>
      </c>
      <c r="N29" s="6"/>
      <c r="O29" s="6"/>
      <c r="P29" s="24"/>
      <c r="Q29" s="6"/>
      <c r="R29" s="6"/>
      <c r="S29" s="6"/>
    </row>
    <row r="30" spans="1:19" x14ac:dyDescent="0.25">
      <c r="A30" s="22" t="s">
        <v>253</v>
      </c>
      <c r="B30" s="6" t="s">
        <v>194</v>
      </c>
      <c r="C30" s="6" t="s">
        <v>254</v>
      </c>
      <c r="D30" s="6" t="s">
        <v>120</v>
      </c>
      <c r="E30" s="6" t="s">
        <v>113</v>
      </c>
      <c r="F30" s="6" t="s">
        <v>127</v>
      </c>
      <c r="G30" s="6" t="s">
        <v>80</v>
      </c>
      <c r="H30" s="6"/>
      <c r="I30" s="6" t="s">
        <v>255</v>
      </c>
      <c r="J30" s="6" t="s">
        <v>256</v>
      </c>
      <c r="K30" s="6" t="s">
        <v>257</v>
      </c>
      <c r="L30" s="23"/>
      <c r="M30" s="6" t="s">
        <v>33</v>
      </c>
      <c r="N30" s="6"/>
      <c r="O30" s="6"/>
      <c r="P30" s="24"/>
      <c r="Q30" s="6"/>
      <c r="R30" s="6"/>
      <c r="S30" s="6"/>
    </row>
    <row r="31" spans="1:19" x14ac:dyDescent="0.25">
      <c r="A31" s="22" t="s">
        <v>258</v>
      </c>
      <c r="B31" s="6" t="s">
        <v>259</v>
      </c>
      <c r="C31" s="6" t="s">
        <v>260</v>
      </c>
      <c r="D31" s="6" t="s">
        <v>103</v>
      </c>
      <c r="E31" s="6" t="s">
        <v>104</v>
      </c>
      <c r="F31" s="6" t="s">
        <v>121</v>
      </c>
      <c r="G31" s="6" t="s">
        <v>80</v>
      </c>
      <c r="H31" s="6"/>
      <c r="I31" s="6" t="s">
        <v>261</v>
      </c>
      <c r="J31" s="6" t="s">
        <v>262</v>
      </c>
      <c r="K31" s="6" t="s">
        <v>263</v>
      </c>
      <c r="L31" s="23"/>
      <c r="M31" s="6" t="s">
        <v>33</v>
      </c>
      <c r="N31" s="6"/>
      <c r="O31" s="6"/>
      <c r="P31" s="24"/>
      <c r="Q31" s="6"/>
      <c r="R31" s="6"/>
      <c r="S31" s="6"/>
    </row>
    <row r="32" spans="1:19" x14ac:dyDescent="0.25">
      <c r="A32" s="22" t="s">
        <v>264</v>
      </c>
      <c r="B32" s="6" t="s">
        <v>259</v>
      </c>
      <c r="C32" s="6" t="s">
        <v>265</v>
      </c>
      <c r="D32" s="6" t="s">
        <v>112</v>
      </c>
      <c r="E32" s="6" t="s">
        <v>145</v>
      </c>
      <c r="F32" s="6" t="s">
        <v>105</v>
      </c>
      <c r="G32" s="6" t="s">
        <v>80</v>
      </c>
      <c r="H32" s="6"/>
      <c r="I32" s="6" t="s">
        <v>122</v>
      </c>
      <c r="J32" s="6" t="s">
        <v>266</v>
      </c>
      <c r="K32" s="6" t="s">
        <v>267</v>
      </c>
      <c r="L32" s="23" t="s">
        <v>268</v>
      </c>
      <c r="M32" s="6" t="s">
        <v>33</v>
      </c>
      <c r="N32" s="6"/>
      <c r="O32" s="6"/>
      <c r="P32" s="24"/>
      <c r="Q32" s="6"/>
      <c r="R32" s="6"/>
      <c r="S32" s="6"/>
    </row>
    <row r="33" spans="1:19" x14ac:dyDescent="0.25">
      <c r="A33" s="22" t="s">
        <v>269</v>
      </c>
      <c r="B33" s="6" t="s">
        <v>270</v>
      </c>
      <c r="C33" s="6" t="s">
        <v>271</v>
      </c>
      <c r="D33" s="6" t="s">
        <v>103</v>
      </c>
      <c r="E33" s="6" t="s">
        <v>104</v>
      </c>
      <c r="F33" s="6" t="s">
        <v>105</v>
      </c>
      <c r="G33" s="6" t="s">
        <v>80</v>
      </c>
      <c r="H33" s="6"/>
      <c r="I33" s="6" t="s">
        <v>122</v>
      </c>
      <c r="J33" s="6" t="s">
        <v>272</v>
      </c>
      <c r="K33" s="6" t="s">
        <v>273</v>
      </c>
      <c r="L33" s="23"/>
      <c r="M33" s="6" t="s">
        <v>33</v>
      </c>
      <c r="N33" s="6"/>
      <c r="O33" s="6"/>
      <c r="P33" s="24"/>
      <c r="Q33" s="6"/>
      <c r="R33" s="6"/>
      <c r="S33" s="6"/>
    </row>
    <row r="34" spans="1:19" x14ac:dyDescent="0.25">
      <c r="A34" s="22" t="s">
        <v>274</v>
      </c>
      <c r="B34" s="6" t="s">
        <v>270</v>
      </c>
      <c r="C34" s="6" t="s">
        <v>275</v>
      </c>
      <c r="D34" s="6" t="s">
        <v>103</v>
      </c>
      <c r="E34" s="6" t="s">
        <v>113</v>
      </c>
      <c r="F34" s="6" t="s">
        <v>105</v>
      </c>
      <c r="G34" s="6" t="s">
        <v>80</v>
      </c>
      <c r="H34" s="6"/>
      <c r="I34" s="6" t="s">
        <v>122</v>
      </c>
      <c r="J34" s="6" t="s">
        <v>276</v>
      </c>
      <c r="K34" s="6" t="s">
        <v>277</v>
      </c>
      <c r="L34" s="23"/>
      <c r="M34" s="6" t="s">
        <v>33</v>
      </c>
      <c r="N34" s="6"/>
      <c r="O34" s="6"/>
      <c r="P34" s="24"/>
      <c r="Q34" s="6"/>
      <c r="R34" s="6"/>
      <c r="S34" s="6"/>
    </row>
    <row r="35" spans="1:19" x14ac:dyDescent="0.25">
      <c r="A35" s="22" t="s">
        <v>278</v>
      </c>
      <c r="B35" s="6" t="s">
        <v>270</v>
      </c>
      <c r="C35" s="6" t="s">
        <v>279</v>
      </c>
      <c r="D35" s="6" t="s">
        <v>103</v>
      </c>
      <c r="E35" s="6" t="s">
        <v>104</v>
      </c>
      <c r="F35" s="6" t="s">
        <v>121</v>
      </c>
      <c r="G35" s="6" t="s">
        <v>80</v>
      </c>
      <c r="H35" s="6"/>
      <c r="I35" s="6" t="s">
        <v>280</v>
      </c>
      <c r="J35" s="6" t="s">
        <v>281</v>
      </c>
      <c r="K35" s="6" t="s">
        <v>282</v>
      </c>
      <c r="L35" s="23"/>
      <c r="M35" s="6" t="s">
        <v>33</v>
      </c>
      <c r="N35" s="6"/>
      <c r="O35" s="6"/>
      <c r="P35" s="24"/>
      <c r="Q35" s="6"/>
      <c r="R35" s="6"/>
      <c r="S35" s="6"/>
    </row>
    <row r="36" spans="1:19" x14ac:dyDescent="0.25">
      <c r="A36" s="22" t="s">
        <v>283</v>
      </c>
      <c r="B36" s="6" t="s">
        <v>270</v>
      </c>
      <c r="C36" s="6" t="s">
        <v>284</v>
      </c>
      <c r="D36" s="6" t="s">
        <v>209</v>
      </c>
      <c r="E36" s="6" t="s">
        <v>104</v>
      </c>
      <c r="F36" s="6" t="s">
        <v>105</v>
      </c>
      <c r="G36" s="6" t="s">
        <v>80</v>
      </c>
      <c r="H36" s="6"/>
      <c r="I36" s="6" t="s">
        <v>122</v>
      </c>
      <c r="J36" s="6" t="s">
        <v>285</v>
      </c>
      <c r="K36" s="6" t="s">
        <v>286</v>
      </c>
      <c r="L36" s="23"/>
      <c r="M36" s="6" t="s">
        <v>33</v>
      </c>
      <c r="N36" s="6"/>
      <c r="O36" s="6"/>
      <c r="P36" s="24"/>
      <c r="Q36" s="6"/>
      <c r="R36" s="6"/>
      <c r="S36" s="6"/>
    </row>
    <row r="37" spans="1:19" x14ac:dyDescent="0.25">
      <c r="A37" s="22" t="s">
        <v>287</v>
      </c>
      <c r="B37" s="6" t="s">
        <v>270</v>
      </c>
      <c r="C37" s="6" t="s">
        <v>288</v>
      </c>
      <c r="D37" s="6" t="s">
        <v>209</v>
      </c>
      <c r="E37" s="6" t="s">
        <v>113</v>
      </c>
      <c r="F37" s="6" t="s">
        <v>121</v>
      </c>
      <c r="G37" s="6" t="s">
        <v>80</v>
      </c>
      <c r="H37" s="6"/>
      <c r="I37" s="6" t="s">
        <v>289</v>
      </c>
      <c r="J37" s="6" t="s">
        <v>290</v>
      </c>
      <c r="K37" s="6" t="s">
        <v>291</v>
      </c>
      <c r="L37" s="23"/>
      <c r="M37" s="6" t="s">
        <v>33</v>
      </c>
      <c r="N37" s="6"/>
      <c r="O37" s="6"/>
      <c r="P37" s="24"/>
      <c r="Q37" s="6"/>
      <c r="R37" s="6"/>
      <c r="S37" s="6"/>
    </row>
    <row r="38" spans="1:19" x14ac:dyDescent="0.25">
      <c r="A38" s="22" t="s">
        <v>292</v>
      </c>
      <c r="B38" s="6" t="s">
        <v>270</v>
      </c>
      <c r="C38" s="6" t="s">
        <v>293</v>
      </c>
      <c r="D38" s="6" t="s">
        <v>103</v>
      </c>
      <c r="E38" s="6" t="s">
        <v>104</v>
      </c>
      <c r="F38" s="6" t="s">
        <v>105</v>
      </c>
      <c r="G38" s="6" t="s">
        <v>80</v>
      </c>
      <c r="H38" s="6"/>
      <c r="I38" s="6" t="s">
        <v>294</v>
      </c>
      <c r="J38" s="6" t="s">
        <v>295</v>
      </c>
      <c r="K38" s="6" t="s">
        <v>296</v>
      </c>
      <c r="L38" s="23"/>
      <c r="M38" s="6" t="s">
        <v>33</v>
      </c>
      <c r="N38" s="6"/>
      <c r="O38" s="6"/>
      <c r="P38" s="24"/>
      <c r="Q38" s="6"/>
      <c r="R38" s="6"/>
      <c r="S38" s="6"/>
    </row>
    <row r="39" spans="1:19" x14ac:dyDescent="0.25">
      <c r="A39" s="22" t="s">
        <v>297</v>
      </c>
      <c r="B39" s="6" t="s">
        <v>270</v>
      </c>
      <c r="C39" s="6" t="s">
        <v>298</v>
      </c>
      <c r="D39" s="6" t="s">
        <v>112</v>
      </c>
      <c r="E39" s="6" t="s">
        <v>104</v>
      </c>
      <c r="F39" s="6" t="s">
        <v>105</v>
      </c>
      <c r="G39" s="6" t="s">
        <v>80</v>
      </c>
      <c r="H39" s="6"/>
      <c r="I39" s="6" t="s">
        <v>299</v>
      </c>
      <c r="J39" s="6" t="s">
        <v>300</v>
      </c>
      <c r="K39" s="6" t="s">
        <v>301</v>
      </c>
      <c r="L39" s="23"/>
      <c r="M39" s="6" t="s">
        <v>33</v>
      </c>
      <c r="N39" s="6"/>
      <c r="O39" s="6"/>
      <c r="P39" s="24"/>
      <c r="Q39" s="6"/>
      <c r="R39" s="6"/>
      <c r="S39" s="6"/>
    </row>
    <row r="40" spans="1:19" x14ac:dyDescent="0.25">
      <c r="A40" s="22" t="s">
        <v>302</v>
      </c>
      <c r="B40" s="6" t="s">
        <v>270</v>
      </c>
      <c r="C40" s="6" t="s">
        <v>303</v>
      </c>
      <c r="D40" s="6" t="s">
        <v>103</v>
      </c>
      <c r="E40" s="6" t="s">
        <v>113</v>
      </c>
      <c r="F40" s="6" t="s">
        <v>105</v>
      </c>
      <c r="G40" s="6" t="s">
        <v>80</v>
      </c>
      <c r="H40" s="6"/>
      <c r="I40" s="6" t="s">
        <v>304</v>
      </c>
      <c r="J40" s="6" t="s">
        <v>305</v>
      </c>
      <c r="K40" s="6" t="s">
        <v>306</v>
      </c>
      <c r="L40" s="23"/>
      <c r="M40" s="6" t="s">
        <v>33</v>
      </c>
      <c r="N40" s="6"/>
      <c r="O40" s="6"/>
      <c r="P40" s="24"/>
      <c r="Q40" s="6"/>
      <c r="R40" s="6"/>
      <c r="S40" s="6"/>
    </row>
    <row r="41" spans="1:19" x14ac:dyDescent="0.25">
      <c r="A41" s="22" t="s">
        <v>307</v>
      </c>
      <c r="B41" s="6" t="s">
        <v>270</v>
      </c>
      <c r="C41" s="6" t="s">
        <v>308</v>
      </c>
      <c r="D41" s="6" t="s">
        <v>103</v>
      </c>
      <c r="E41" s="6" t="s">
        <v>104</v>
      </c>
      <c r="F41" s="6" t="s">
        <v>121</v>
      </c>
      <c r="G41" s="6" t="s">
        <v>80</v>
      </c>
      <c r="H41" s="6"/>
      <c r="I41" s="6" t="s">
        <v>309</v>
      </c>
      <c r="J41" s="6" t="s">
        <v>310</v>
      </c>
      <c r="K41" s="6" t="s">
        <v>311</v>
      </c>
      <c r="L41" s="23"/>
      <c r="M41" s="6" t="s">
        <v>33</v>
      </c>
      <c r="N41" s="6"/>
      <c r="O41" s="6"/>
      <c r="P41" s="24"/>
      <c r="Q41" s="6"/>
      <c r="R41" s="6"/>
      <c r="S41" s="6"/>
    </row>
    <row r="42" spans="1:19" x14ac:dyDescent="0.25">
      <c r="A42" s="22" t="s">
        <v>312</v>
      </c>
      <c r="B42" s="6" t="s">
        <v>270</v>
      </c>
      <c r="C42" s="6" t="s">
        <v>313</v>
      </c>
      <c r="D42" s="6" t="s">
        <v>209</v>
      </c>
      <c r="E42" s="6" t="s">
        <v>113</v>
      </c>
      <c r="F42" s="6" t="s">
        <v>121</v>
      </c>
      <c r="G42" s="6" t="s">
        <v>80</v>
      </c>
      <c r="H42" s="6"/>
      <c r="I42" s="6" t="s">
        <v>314</v>
      </c>
      <c r="J42" s="6" t="s">
        <v>315</v>
      </c>
      <c r="K42" s="6" t="s">
        <v>316</v>
      </c>
      <c r="L42" s="23"/>
      <c r="M42" s="6" t="s">
        <v>33</v>
      </c>
      <c r="N42" s="6"/>
      <c r="O42" s="6"/>
      <c r="P42" s="24"/>
      <c r="Q42" s="6"/>
      <c r="R42" s="6"/>
      <c r="S42" s="6"/>
    </row>
    <row r="43" spans="1:19" x14ac:dyDescent="0.25">
      <c r="A43" s="22" t="s">
        <v>317</v>
      </c>
      <c r="B43" s="6" t="s">
        <v>270</v>
      </c>
      <c r="C43" s="6" t="s">
        <v>318</v>
      </c>
      <c r="D43" s="6" t="s">
        <v>103</v>
      </c>
      <c r="E43" s="6" t="s">
        <v>113</v>
      </c>
      <c r="F43" s="6" t="s">
        <v>105</v>
      </c>
      <c r="G43" s="6" t="s">
        <v>80</v>
      </c>
      <c r="H43" s="6"/>
      <c r="I43" s="6" t="s">
        <v>319</v>
      </c>
      <c r="J43" s="6" t="s">
        <v>320</v>
      </c>
      <c r="K43" s="6" t="s">
        <v>321</v>
      </c>
      <c r="L43" s="23"/>
      <c r="M43" s="6" t="s">
        <v>33</v>
      </c>
      <c r="N43" s="6"/>
      <c r="O43" s="6"/>
      <c r="P43" s="24"/>
      <c r="Q43" s="6"/>
      <c r="R43" s="6"/>
      <c r="S43" s="6"/>
    </row>
    <row r="44" spans="1:19" x14ac:dyDescent="0.25">
      <c r="A44" s="22" t="s">
        <v>322</v>
      </c>
      <c r="B44" s="6" t="s">
        <v>270</v>
      </c>
      <c r="C44" s="6" t="s">
        <v>323</v>
      </c>
      <c r="D44" s="6" t="s">
        <v>112</v>
      </c>
      <c r="E44" s="6" t="s">
        <v>113</v>
      </c>
      <c r="F44" s="6" t="s">
        <v>105</v>
      </c>
      <c r="G44" s="6" t="s">
        <v>80</v>
      </c>
      <c r="H44" s="6"/>
      <c r="I44" s="6" t="s">
        <v>324</v>
      </c>
      <c r="J44" s="6" t="s">
        <v>325</v>
      </c>
      <c r="K44" s="6" t="s">
        <v>326</v>
      </c>
      <c r="L44" s="23"/>
      <c r="M44" s="6" t="s">
        <v>33</v>
      </c>
      <c r="N44" s="6"/>
      <c r="O44" s="6"/>
      <c r="P44" s="24"/>
      <c r="Q44" s="6"/>
      <c r="R44" s="6"/>
      <c r="S44" s="6"/>
    </row>
    <row r="45" spans="1:19" x14ac:dyDescent="0.25">
      <c r="A45" s="22" t="s">
        <v>327</v>
      </c>
      <c r="B45" s="6" t="s">
        <v>328</v>
      </c>
      <c r="C45" s="6" t="s">
        <v>329</v>
      </c>
      <c r="D45" s="6" t="s">
        <v>103</v>
      </c>
      <c r="E45" s="6" t="s">
        <v>104</v>
      </c>
      <c r="F45" s="6" t="s">
        <v>105</v>
      </c>
      <c r="G45" s="6" t="s">
        <v>80</v>
      </c>
      <c r="H45" s="6"/>
      <c r="I45" s="6" t="s">
        <v>122</v>
      </c>
      <c r="J45" s="6" t="s">
        <v>330</v>
      </c>
      <c r="K45" s="6" t="s">
        <v>331</v>
      </c>
      <c r="L45" s="23"/>
      <c r="M45" s="6" t="s">
        <v>33</v>
      </c>
      <c r="N45" s="6"/>
      <c r="O45" s="6"/>
      <c r="P45" s="24"/>
      <c r="Q45" s="6"/>
      <c r="R45" s="6"/>
      <c r="S45" s="6"/>
    </row>
    <row r="46" spans="1:19" x14ac:dyDescent="0.25">
      <c r="A46" s="22" t="s">
        <v>332</v>
      </c>
      <c r="B46" s="6" t="s">
        <v>328</v>
      </c>
      <c r="C46" s="6" t="s">
        <v>333</v>
      </c>
      <c r="D46" s="6" t="s">
        <v>103</v>
      </c>
      <c r="E46" s="6" t="s">
        <v>104</v>
      </c>
      <c r="F46" s="6" t="s">
        <v>121</v>
      </c>
      <c r="G46" s="6" t="s">
        <v>80</v>
      </c>
      <c r="H46" s="6"/>
      <c r="I46" s="6" t="s">
        <v>334</v>
      </c>
      <c r="J46" s="6" t="s">
        <v>335</v>
      </c>
      <c r="K46" s="6" t="s">
        <v>336</v>
      </c>
      <c r="L46" s="23"/>
      <c r="M46" s="6" t="s">
        <v>33</v>
      </c>
      <c r="N46" s="6"/>
      <c r="O46" s="6"/>
      <c r="P46" s="24"/>
      <c r="Q46" s="6"/>
      <c r="R46" s="6"/>
      <c r="S46" s="6"/>
    </row>
    <row r="47" spans="1:19" x14ac:dyDescent="0.25">
      <c r="A47" s="22" t="s">
        <v>337</v>
      </c>
      <c r="B47" s="6" t="s">
        <v>328</v>
      </c>
      <c r="C47" s="6" t="s">
        <v>338</v>
      </c>
      <c r="D47" s="6" t="s">
        <v>209</v>
      </c>
      <c r="E47" s="6" t="s">
        <v>104</v>
      </c>
      <c r="F47" s="6" t="s">
        <v>105</v>
      </c>
      <c r="G47" s="6" t="s">
        <v>80</v>
      </c>
      <c r="H47" s="6"/>
      <c r="I47" s="6" t="s">
        <v>339</v>
      </c>
      <c r="J47" s="6" t="s">
        <v>340</v>
      </c>
      <c r="K47" s="6" t="s">
        <v>341</v>
      </c>
      <c r="L47" s="23"/>
      <c r="M47" s="6" t="s">
        <v>33</v>
      </c>
      <c r="N47" s="6"/>
      <c r="O47" s="6"/>
      <c r="P47" s="24"/>
      <c r="Q47" s="6"/>
      <c r="R47" s="6"/>
      <c r="S47" s="6"/>
    </row>
    <row r="48" spans="1:19" x14ac:dyDescent="0.25">
      <c r="A48" s="22" t="s">
        <v>342</v>
      </c>
      <c r="B48" s="6" t="s">
        <v>328</v>
      </c>
      <c r="C48" s="6" t="s">
        <v>343</v>
      </c>
      <c r="D48" s="6" t="s">
        <v>103</v>
      </c>
      <c r="E48" s="6" t="s">
        <v>113</v>
      </c>
      <c r="F48" s="6" t="s">
        <v>105</v>
      </c>
      <c r="G48" s="6" t="s">
        <v>80</v>
      </c>
      <c r="H48" s="6"/>
      <c r="I48" s="6" t="s">
        <v>344</v>
      </c>
      <c r="J48" s="6" t="s">
        <v>345</v>
      </c>
      <c r="K48" s="6" t="s">
        <v>346</v>
      </c>
      <c r="L48" s="23"/>
      <c r="M48" s="6" t="s">
        <v>33</v>
      </c>
      <c r="N48" s="6"/>
      <c r="O48" s="6"/>
      <c r="P48" s="24"/>
      <c r="Q48" s="6"/>
      <c r="R48" s="6"/>
      <c r="S48" s="6"/>
    </row>
    <row r="49" spans="1:19" x14ac:dyDescent="0.25">
      <c r="A49" s="22" t="s">
        <v>347</v>
      </c>
      <c r="B49" s="6" t="s">
        <v>328</v>
      </c>
      <c r="C49" s="6" t="s">
        <v>348</v>
      </c>
      <c r="D49" s="6" t="s">
        <v>103</v>
      </c>
      <c r="E49" s="6" t="s">
        <v>104</v>
      </c>
      <c r="F49" s="6" t="s">
        <v>105</v>
      </c>
      <c r="G49" s="6" t="s">
        <v>80</v>
      </c>
      <c r="H49" s="6"/>
      <c r="I49" s="6" t="s">
        <v>349</v>
      </c>
      <c r="J49" s="6" t="s">
        <v>350</v>
      </c>
      <c r="K49" s="6" t="s">
        <v>351</v>
      </c>
      <c r="L49" s="23"/>
      <c r="M49" s="6" t="s">
        <v>33</v>
      </c>
      <c r="N49" s="6"/>
      <c r="O49" s="6"/>
      <c r="P49" s="24"/>
      <c r="Q49" s="6"/>
      <c r="R49" s="6"/>
      <c r="S49" s="6"/>
    </row>
    <row r="50" spans="1:19" x14ac:dyDescent="0.25">
      <c r="A50" s="22" t="s">
        <v>352</v>
      </c>
      <c r="B50" s="6" t="s">
        <v>328</v>
      </c>
      <c r="C50" s="6" t="s">
        <v>353</v>
      </c>
      <c r="D50" s="6" t="s">
        <v>209</v>
      </c>
      <c r="E50" s="6" t="s">
        <v>145</v>
      </c>
      <c r="F50" s="6" t="s">
        <v>105</v>
      </c>
      <c r="G50" s="6" t="s">
        <v>80</v>
      </c>
      <c r="H50" s="6"/>
      <c r="I50" s="6" t="s">
        <v>122</v>
      </c>
      <c r="J50" s="6" t="s">
        <v>354</v>
      </c>
      <c r="K50" s="6" t="s">
        <v>355</v>
      </c>
      <c r="L50" s="23" t="s">
        <v>356</v>
      </c>
      <c r="M50" s="6" t="s">
        <v>33</v>
      </c>
      <c r="N50" s="6"/>
      <c r="O50" s="6"/>
      <c r="P50" s="24"/>
      <c r="Q50" s="6"/>
      <c r="R50" s="6"/>
      <c r="S50" s="6"/>
    </row>
    <row r="51" spans="1:19" x14ac:dyDescent="0.25">
      <c r="A51" s="22" t="s">
        <v>357</v>
      </c>
      <c r="B51" s="6" t="s">
        <v>358</v>
      </c>
      <c r="C51" s="6" t="s">
        <v>359</v>
      </c>
      <c r="D51" s="6" t="s">
        <v>103</v>
      </c>
      <c r="E51" s="6" t="s">
        <v>104</v>
      </c>
      <c r="F51" s="6" t="s">
        <v>105</v>
      </c>
      <c r="G51" s="6" t="s">
        <v>80</v>
      </c>
      <c r="H51" s="6"/>
      <c r="I51" s="6" t="s">
        <v>122</v>
      </c>
      <c r="J51" s="6" t="s">
        <v>360</v>
      </c>
      <c r="K51" s="6" t="s">
        <v>361</v>
      </c>
      <c r="L51" s="23"/>
      <c r="M51" s="6" t="s">
        <v>33</v>
      </c>
      <c r="N51" s="6"/>
      <c r="O51" s="6"/>
      <c r="P51" s="24"/>
      <c r="Q51" s="6"/>
      <c r="R51" s="6"/>
      <c r="S51" s="6"/>
    </row>
    <row r="52" spans="1:19" x14ac:dyDescent="0.25">
      <c r="A52" s="22" t="s">
        <v>362</v>
      </c>
      <c r="B52" s="6" t="s">
        <v>358</v>
      </c>
      <c r="C52" s="6" t="s">
        <v>363</v>
      </c>
      <c r="D52" s="6" t="s">
        <v>103</v>
      </c>
      <c r="E52" s="6" t="s">
        <v>104</v>
      </c>
      <c r="F52" s="6" t="s">
        <v>105</v>
      </c>
      <c r="G52" s="6" t="s">
        <v>80</v>
      </c>
      <c r="H52" s="6"/>
      <c r="I52" s="6" t="s">
        <v>364</v>
      </c>
      <c r="J52" s="6" t="s">
        <v>365</v>
      </c>
      <c r="K52" s="6" t="s">
        <v>366</v>
      </c>
      <c r="L52" s="23"/>
      <c r="M52" s="6" t="s">
        <v>33</v>
      </c>
      <c r="N52" s="6"/>
      <c r="O52" s="6"/>
      <c r="P52" s="24"/>
      <c r="Q52" s="6"/>
      <c r="R52" s="6"/>
      <c r="S52" s="6"/>
    </row>
    <row r="53" spans="1:19" x14ac:dyDescent="0.25">
      <c r="A53" s="22" t="s">
        <v>367</v>
      </c>
      <c r="B53" s="6" t="s">
        <v>358</v>
      </c>
      <c r="C53" s="6" t="s">
        <v>368</v>
      </c>
      <c r="D53" s="6" t="s">
        <v>209</v>
      </c>
      <c r="E53" s="6" t="s">
        <v>104</v>
      </c>
      <c r="F53" s="6" t="s">
        <v>105</v>
      </c>
      <c r="G53" s="6" t="s">
        <v>80</v>
      </c>
      <c r="H53" s="6"/>
      <c r="I53" s="6" t="s">
        <v>364</v>
      </c>
      <c r="J53" s="6" t="s">
        <v>369</v>
      </c>
      <c r="K53" s="6" t="s">
        <v>370</v>
      </c>
      <c r="L53" s="23"/>
      <c r="M53" s="6" t="s">
        <v>33</v>
      </c>
      <c r="N53" s="6"/>
      <c r="O53" s="6"/>
      <c r="P53" s="24"/>
      <c r="Q53" s="6"/>
      <c r="R53" s="6"/>
      <c r="S53" s="6"/>
    </row>
    <row r="54" spans="1:19" x14ac:dyDescent="0.25">
      <c r="A54" s="22" t="s">
        <v>371</v>
      </c>
      <c r="B54" s="6" t="s">
        <v>358</v>
      </c>
      <c r="C54" s="6" t="s">
        <v>372</v>
      </c>
      <c r="D54" s="6" t="s">
        <v>103</v>
      </c>
      <c r="E54" s="6" t="s">
        <v>113</v>
      </c>
      <c r="F54" s="6" t="s">
        <v>105</v>
      </c>
      <c r="G54" s="6" t="s">
        <v>80</v>
      </c>
      <c r="H54" s="6"/>
      <c r="I54" s="6" t="s">
        <v>373</v>
      </c>
      <c r="J54" s="6" t="s">
        <v>374</v>
      </c>
      <c r="K54" s="6" t="s">
        <v>375</v>
      </c>
      <c r="L54" s="23"/>
      <c r="M54" s="6" t="s">
        <v>33</v>
      </c>
      <c r="N54" s="6"/>
      <c r="O54" s="6"/>
      <c r="P54" s="24"/>
      <c r="Q54" s="6"/>
      <c r="R54" s="6"/>
      <c r="S54" s="6"/>
    </row>
    <row r="55" spans="1:19" x14ac:dyDescent="0.25">
      <c r="A55" s="22" t="s">
        <v>376</v>
      </c>
      <c r="B55" s="6" t="s">
        <v>358</v>
      </c>
      <c r="C55" s="6" t="s">
        <v>377</v>
      </c>
      <c r="D55" s="6" t="s">
        <v>103</v>
      </c>
      <c r="E55" s="6" t="s">
        <v>104</v>
      </c>
      <c r="F55" s="6" t="s">
        <v>105</v>
      </c>
      <c r="G55" s="6" t="s">
        <v>80</v>
      </c>
      <c r="H55" s="6"/>
      <c r="I55" s="6" t="s">
        <v>122</v>
      </c>
      <c r="J55" s="6" t="s">
        <v>378</v>
      </c>
      <c r="K55" s="6" t="s">
        <v>379</v>
      </c>
      <c r="L55" s="23"/>
      <c r="M55" s="6" t="s">
        <v>33</v>
      </c>
      <c r="N55" s="6"/>
      <c r="O55" s="6"/>
      <c r="P55" s="24"/>
      <c r="Q55" s="6"/>
      <c r="R55" s="6"/>
      <c r="S55" s="6"/>
    </row>
    <row r="56" spans="1:19" x14ac:dyDescent="0.25">
      <c r="A56" s="22" t="s">
        <v>380</v>
      </c>
      <c r="B56" s="6" t="s">
        <v>358</v>
      </c>
      <c r="C56" s="6" t="s">
        <v>381</v>
      </c>
      <c r="D56" s="6" t="s">
        <v>103</v>
      </c>
      <c r="E56" s="6" t="s">
        <v>104</v>
      </c>
      <c r="F56" s="6" t="s">
        <v>105</v>
      </c>
      <c r="G56" s="6" t="s">
        <v>80</v>
      </c>
      <c r="H56" s="6"/>
      <c r="I56" s="6" t="s">
        <v>382</v>
      </c>
      <c r="J56" s="6" t="s">
        <v>383</v>
      </c>
      <c r="K56" s="6" t="s">
        <v>384</v>
      </c>
      <c r="L56" s="23"/>
      <c r="M56" s="6" t="s">
        <v>33</v>
      </c>
      <c r="N56" s="6"/>
      <c r="O56" s="6"/>
      <c r="P56" s="24"/>
      <c r="Q56" s="6"/>
      <c r="R56" s="6"/>
      <c r="S56" s="6"/>
    </row>
    <row r="57" spans="1:19" x14ac:dyDescent="0.25">
      <c r="A57" s="22" t="s">
        <v>385</v>
      </c>
      <c r="B57" s="6" t="s">
        <v>358</v>
      </c>
      <c r="C57" s="6" t="s">
        <v>386</v>
      </c>
      <c r="D57" s="6" t="s">
        <v>209</v>
      </c>
      <c r="E57" s="6" t="s">
        <v>104</v>
      </c>
      <c r="F57" s="6" t="s">
        <v>105</v>
      </c>
      <c r="G57" s="6" t="s">
        <v>80</v>
      </c>
      <c r="H57" s="6"/>
      <c r="I57" s="6" t="s">
        <v>387</v>
      </c>
      <c r="J57" s="6" t="s">
        <v>388</v>
      </c>
      <c r="K57" s="6" t="s">
        <v>389</v>
      </c>
      <c r="L57" s="23"/>
      <c r="M57" s="6" t="s">
        <v>33</v>
      </c>
      <c r="N57" s="6"/>
      <c r="O57" s="6"/>
      <c r="P57" s="24"/>
      <c r="Q57" s="6"/>
      <c r="R57" s="6"/>
      <c r="S57" s="6"/>
    </row>
    <row r="58" spans="1:19" x14ac:dyDescent="0.25">
      <c r="A58" s="22" t="s">
        <v>390</v>
      </c>
      <c r="B58" s="6" t="s">
        <v>358</v>
      </c>
      <c r="C58" s="6" t="s">
        <v>391</v>
      </c>
      <c r="D58" s="6" t="s">
        <v>112</v>
      </c>
      <c r="E58" s="6" t="s">
        <v>113</v>
      </c>
      <c r="F58" s="6" t="s">
        <v>105</v>
      </c>
      <c r="G58" s="6" t="s">
        <v>80</v>
      </c>
      <c r="H58" s="6"/>
      <c r="I58" s="6" t="s">
        <v>210</v>
      </c>
      <c r="J58" s="6" t="s">
        <v>392</v>
      </c>
      <c r="K58" s="6" t="s">
        <v>393</v>
      </c>
      <c r="L58" s="23"/>
      <c r="M58" s="6" t="s">
        <v>33</v>
      </c>
      <c r="N58" s="6"/>
      <c r="O58" s="6"/>
      <c r="P58" s="24"/>
      <c r="Q58" s="6"/>
      <c r="R58" s="6"/>
      <c r="S58" s="6"/>
    </row>
    <row r="59" spans="1:19" x14ac:dyDescent="0.25">
      <c r="A59" s="22" t="s">
        <v>394</v>
      </c>
      <c r="B59" s="6" t="s">
        <v>358</v>
      </c>
      <c r="C59" s="6" t="s">
        <v>395</v>
      </c>
      <c r="D59" s="6" t="s">
        <v>103</v>
      </c>
      <c r="E59" s="6" t="s">
        <v>113</v>
      </c>
      <c r="F59" s="6" t="s">
        <v>105</v>
      </c>
      <c r="G59" s="6" t="s">
        <v>80</v>
      </c>
      <c r="H59" s="6"/>
      <c r="I59" s="6" t="s">
        <v>364</v>
      </c>
      <c r="J59" s="6" t="s">
        <v>396</v>
      </c>
      <c r="K59" s="6" t="s">
        <v>397</v>
      </c>
      <c r="L59" s="23"/>
      <c r="M59" s="6" t="s">
        <v>33</v>
      </c>
      <c r="N59" s="6"/>
      <c r="O59" s="6"/>
      <c r="P59" s="24"/>
      <c r="Q59" s="6"/>
      <c r="R59" s="6"/>
      <c r="S59" s="6"/>
    </row>
    <row r="60" spans="1:19" x14ac:dyDescent="0.25">
      <c r="A60" s="22" t="s">
        <v>398</v>
      </c>
      <c r="B60" s="6" t="s">
        <v>358</v>
      </c>
      <c r="C60" s="6" t="s">
        <v>399</v>
      </c>
      <c r="D60" s="6" t="s">
        <v>103</v>
      </c>
      <c r="E60" s="6" t="s">
        <v>104</v>
      </c>
      <c r="F60" s="6" t="s">
        <v>105</v>
      </c>
      <c r="G60" s="6" t="s">
        <v>80</v>
      </c>
      <c r="H60" s="6"/>
      <c r="I60" s="6" t="s">
        <v>400</v>
      </c>
      <c r="J60" s="6" t="s">
        <v>401</v>
      </c>
      <c r="K60" s="6" t="s">
        <v>402</v>
      </c>
      <c r="L60" s="23"/>
      <c r="M60" s="6" t="s">
        <v>33</v>
      </c>
      <c r="N60" s="6"/>
      <c r="O60" s="6"/>
      <c r="P60" s="24"/>
      <c r="Q60" s="6"/>
      <c r="R60" s="6"/>
      <c r="S60" s="6"/>
    </row>
    <row r="61" spans="1:19" x14ac:dyDescent="0.25">
      <c r="A61" s="22" t="s">
        <v>403</v>
      </c>
      <c r="B61" s="6" t="s">
        <v>358</v>
      </c>
      <c r="C61" s="6" t="s">
        <v>404</v>
      </c>
      <c r="D61" s="6" t="s">
        <v>209</v>
      </c>
      <c r="E61" s="6" t="s">
        <v>104</v>
      </c>
      <c r="F61" s="6" t="s">
        <v>105</v>
      </c>
      <c r="G61" s="6" t="s">
        <v>80</v>
      </c>
      <c r="H61" s="6"/>
      <c r="I61" s="6" t="s">
        <v>405</v>
      </c>
      <c r="J61" s="6" t="s">
        <v>406</v>
      </c>
      <c r="K61" s="6" t="s">
        <v>407</v>
      </c>
      <c r="L61" s="23"/>
      <c r="M61" s="6" t="s">
        <v>33</v>
      </c>
      <c r="N61" s="6"/>
      <c r="O61" s="6"/>
      <c r="P61" s="24"/>
      <c r="Q61" s="6"/>
      <c r="R61" s="6"/>
      <c r="S61" s="6"/>
    </row>
    <row r="62" spans="1:19" x14ac:dyDescent="0.25">
      <c r="A62" s="22" t="s">
        <v>408</v>
      </c>
      <c r="B62" s="6" t="s">
        <v>358</v>
      </c>
      <c r="C62" s="6" t="s">
        <v>409</v>
      </c>
      <c r="D62" s="6" t="s">
        <v>103</v>
      </c>
      <c r="E62" s="6" t="s">
        <v>113</v>
      </c>
      <c r="F62" s="6" t="s">
        <v>105</v>
      </c>
      <c r="G62" s="6" t="s">
        <v>80</v>
      </c>
      <c r="H62" s="6"/>
      <c r="I62" s="6" t="s">
        <v>122</v>
      </c>
      <c r="J62" s="6" t="s">
        <v>410</v>
      </c>
      <c r="K62" s="6" t="s">
        <v>411</v>
      </c>
      <c r="L62" s="23"/>
      <c r="M62" s="6" t="s">
        <v>33</v>
      </c>
      <c r="N62" s="6"/>
      <c r="O62" s="6"/>
      <c r="P62" s="24"/>
      <c r="Q62" s="6"/>
      <c r="R62" s="6"/>
      <c r="S62" s="6"/>
    </row>
    <row r="63" spans="1:19" x14ac:dyDescent="0.25">
      <c r="A63" s="22" t="s">
        <v>412</v>
      </c>
      <c r="B63" s="6" t="s">
        <v>358</v>
      </c>
      <c r="C63" s="6" t="s">
        <v>413</v>
      </c>
      <c r="D63" s="6" t="s">
        <v>103</v>
      </c>
      <c r="E63" s="6" t="s">
        <v>104</v>
      </c>
      <c r="F63" s="6" t="s">
        <v>105</v>
      </c>
      <c r="G63" s="6" t="s">
        <v>80</v>
      </c>
      <c r="H63" s="6"/>
      <c r="I63" s="6" t="s">
        <v>414</v>
      </c>
      <c r="J63" s="6" t="s">
        <v>415</v>
      </c>
      <c r="K63" s="6" t="s">
        <v>416</v>
      </c>
      <c r="L63" s="23"/>
      <c r="M63" s="6" t="s">
        <v>33</v>
      </c>
      <c r="N63" s="6"/>
      <c r="O63" s="6"/>
      <c r="P63" s="24"/>
      <c r="Q63" s="6"/>
      <c r="R63" s="6"/>
      <c r="S63" s="6"/>
    </row>
    <row r="64" spans="1:19" x14ac:dyDescent="0.25">
      <c r="A64" s="22" t="s">
        <v>417</v>
      </c>
      <c r="B64" s="6" t="s">
        <v>358</v>
      </c>
      <c r="C64" s="6" t="s">
        <v>418</v>
      </c>
      <c r="D64" s="6" t="s">
        <v>209</v>
      </c>
      <c r="E64" s="6" t="s">
        <v>104</v>
      </c>
      <c r="F64" s="6" t="s">
        <v>105</v>
      </c>
      <c r="G64" s="6" t="s">
        <v>80</v>
      </c>
      <c r="H64" s="6"/>
      <c r="I64" s="6" t="s">
        <v>419</v>
      </c>
      <c r="J64" s="6" t="s">
        <v>420</v>
      </c>
      <c r="K64" s="6" t="s">
        <v>421</v>
      </c>
      <c r="L64" s="23"/>
      <c r="M64" s="6" t="s">
        <v>33</v>
      </c>
      <c r="N64" s="6"/>
      <c r="O64" s="6"/>
      <c r="P64" s="24"/>
      <c r="Q64" s="6"/>
      <c r="R64" s="6"/>
      <c r="S64" s="6"/>
    </row>
    <row r="65" spans="1:19" x14ac:dyDescent="0.25">
      <c r="A65" s="22" t="s">
        <v>422</v>
      </c>
      <c r="B65" s="6" t="s">
        <v>358</v>
      </c>
      <c r="C65" s="6" t="s">
        <v>423</v>
      </c>
      <c r="D65" s="6" t="s">
        <v>103</v>
      </c>
      <c r="E65" s="6" t="s">
        <v>104</v>
      </c>
      <c r="F65" s="6" t="s">
        <v>105</v>
      </c>
      <c r="G65" s="6" t="s">
        <v>80</v>
      </c>
      <c r="H65" s="6"/>
      <c r="I65" s="6" t="s">
        <v>424</v>
      </c>
      <c r="J65" s="6" t="s">
        <v>425</v>
      </c>
      <c r="K65" s="6" t="s">
        <v>426</v>
      </c>
      <c r="L65" s="23"/>
      <c r="M65" s="6" t="s">
        <v>33</v>
      </c>
      <c r="N65" s="6"/>
      <c r="O65" s="6"/>
      <c r="P65" s="24"/>
      <c r="Q65" s="6"/>
      <c r="R65" s="6"/>
      <c r="S65" s="6"/>
    </row>
    <row r="66" spans="1:19" x14ac:dyDescent="0.25">
      <c r="A66" s="22" t="s">
        <v>427</v>
      </c>
      <c r="B66" s="6" t="s">
        <v>428</v>
      </c>
      <c r="C66" s="6" t="s">
        <v>429</v>
      </c>
      <c r="D66" s="6" t="s">
        <v>103</v>
      </c>
      <c r="E66" s="6" t="s">
        <v>104</v>
      </c>
      <c r="F66" s="6" t="s">
        <v>105</v>
      </c>
      <c r="G66" s="6" t="s">
        <v>80</v>
      </c>
      <c r="H66" s="6"/>
      <c r="I66" s="6" t="s">
        <v>122</v>
      </c>
      <c r="J66" s="6" t="s">
        <v>430</v>
      </c>
      <c r="K66" s="6" t="s">
        <v>431</v>
      </c>
      <c r="L66" s="23" t="s">
        <v>432</v>
      </c>
      <c r="M66" s="6" t="s">
        <v>33</v>
      </c>
      <c r="N66" s="6"/>
      <c r="O66" s="6"/>
      <c r="P66" s="24"/>
      <c r="Q66" s="6"/>
      <c r="R66" s="6"/>
      <c r="S66" s="6"/>
    </row>
    <row r="67" spans="1:19" x14ac:dyDescent="0.25">
      <c r="A67" s="22" t="s">
        <v>433</v>
      </c>
      <c r="B67" s="6" t="s">
        <v>428</v>
      </c>
      <c r="C67" s="6" t="s">
        <v>434</v>
      </c>
      <c r="D67" s="6" t="s">
        <v>209</v>
      </c>
      <c r="E67" s="6" t="s">
        <v>104</v>
      </c>
      <c r="F67" s="6" t="s">
        <v>105</v>
      </c>
      <c r="G67" s="6" t="s">
        <v>80</v>
      </c>
      <c r="H67" s="6"/>
      <c r="I67" s="6" t="s">
        <v>122</v>
      </c>
      <c r="J67" s="6" t="s">
        <v>435</v>
      </c>
      <c r="K67" s="6" t="s">
        <v>436</v>
      </c>
      <c r="L67" s="23"/>
      <c r="M67" s="6" t="s">
        <v>33</v>
      </c>
      <c r="N67" s="6"/>
      <c r="O67" s="6"/>
      <c r="P67" s="24"/>
      <c r="Q67" s="6"/>
      <c r="R67" s="6"/>
      <c r="S67" s="6"/>
    </row>
    <row r="68" spans="1:19" x14ac:dyDescent="0.25">
      <c r="A68" s="22" t="s">
        <v>437</v>
      </c>
      <c r="B68" s="6" t="s">
        <v>428</v>
      </c>
      <c r="C68" s="6" t="s">
        <v>438</v>
      </c>
      <c r="D68" s="6" t="s">
        <v>103</v>
      </c>
      <c r="E68" s="6" t="s">
        <v>113</v>
      </c>
      <c r="F68" s="6" t="s">
        <v>105</v>
      </c>
      <c r="G68" s="6" t="s">
        <v>80</v>
      </c>
      <c r="H68" s="6"/>
      <c r="I68" s="6" t="s">
        <v>439</v>
      </c>
      <c r="J68" s="6" t="s">
        <v>440</v>
      </c>
      <c r="K68" s="6" t="s">
        <v>441</v>
      </c>
      <c r="L68" s="23"/>
      <c r="M68" s="6" t="s">
        <v>33</v>
      </c>
      <c r="N68" s="6"/>
      <c r="O68" s="6"/>
      <c r="P68" s="24"/>
      <c r="Q68" s="6"/>
      <c r="R68" s="6"/>
      <c r="S68" s="6"/>
    </row>
    <row r="69" spans="1:19" x14ac:dyDescent="0.25">
      <c r="A69" s="22" t="s">
        <v>442</v>
      </c>
      <c r="B69" s="6" t="s">
        <v>428</v>
      </c>
      <c r="C69" s="6" t="s">
        <v>443</v>
      </c>
      <c r="D69" s="6" t="s">
        <v>103</v>
      </c>
      <c r="E69" s="6" t="s">
        <v>104</v>
      </c>
      <c r="F69" s="6" t="s">
        <v>105</v>
      </c>
      <c r="G69" s="6" t="s">
        <v>80</v>
      </c>
      <c r="H69" s="6"/>
      <c r="I69" s="6" t="s">
        <v>122</v>
      </c>
      <c r="J69" s="6" t="s">
        <v>444</v>
      </c>
      <c r="K69" s="6" t="s">
        <v>445</v>
      </c>
      <c r="L69" s="23"/>
      <c r="M69" s="6" t="s">
        <v>33</v>
      </c>
      <c r="N69" s="6"/>
      <c r="O69" s="6"/>
      <c r="P69" s="24"/>
      <c r="Q69" s="6"/>
      <c r="R69" s="6"/>
      <c r="S69" s="6"/>
    </row>
    <row r="70" spans="1:19" x14ac:dyDescent="0.25">
      <c r="A70" s="22" t="s">
        <v>446</v>
      </c>
      <c r="B70" s="6" t="s">
        <v>428</v>
      </c>
      <c r="C70" s="6" t="s">
        <v>447</v>
      </c>
      <c r="D70" s="6" t="s">
        <v>103</v>
      </c>
      <c r="E70" s="6" t="s">
        <v>104</v>
      </c>
      <c r="F70" s="6" t="s">
        <v>105</v>
      </c>
      <c r="G70" s="6" t="s">
        <v>80</v>
      </c>
      <c r="H70" s="6"/>
      <c r="I70" s="6" t="s">
        <v>448</v>
      </c>
      <c r="J70" s="6" t="s">
        <v>449</v>
      </c>
      <c r="K70" s="6" t="s">
        <v>450</v>
      </c>
      <c r="L70" s="23"/>
      <c r="M70" s="6" t="s">
        <v>33</v>
      </c>
      <c r="N70" s="6"/>
      <c r="O70" s="6"/>
      <c r="P70" s="24"/>
      <c r="Q70" s="6"/>
      <c r="R70" s="6"/>
      <c r="S70" s="6"/>
    </row>
    <row r="71" spans="1:19" x14ac:dyDescent="0.25">
      <c r="A71" s="22" t="s">
        <v>451</v>
      </c>
      <c r="B71" s="6" t="s">
        <v>428</v>
      </c>
      <c r="C71" s="6" t="s">
        <v>452</v>
      </c>
      <c r="D71" s="6" t="s">
        <v>209</v>
      </c>
      <c r="E71" s="6" t="s">
        <v>104</v>
      </c>
      <c r="F71" s="6" t="s">
        <v>105</v>
      </c>
      <c r="G71" s="6" t="s">
        <v>80</v>
      </c>
      <c r="H71" s="6"/>
      <c r="I71" s="6" t="s">
        <v>453</v>
      </c>
      <c r="J71" s="6" t="s">
        <v>454</v>
      </c>
      <c r="K71" s="6" t="s">
        <v>455</v>
      </c>
      <c r="L71" s="23"/>
      <c r="M71" s="6" t="s">
        <v>33</v>
      </c>
      <c r="N71" s="6"/>
      <c r="O71" s="6"/>
      <c r="P71" s="24"/>
      <c r="Q71" s="6"/>
      <c r="R71" s="6"/>
      <c r="S71" s="6"/>
    </row>
    <row r="72" spans="1:19" x14ac:dyDescent="0.25">
      <c r="A72" s="22" t="s">
        <v>456</v>
      </c>
      <c r="B72" s="6" t="s">
        <v>428</v>
      </c>
      <c r="C72" s="6" t="s">
        <v>457</v>
      </c>
      <c r="D72" s="6" t="s">
        <v>112</v>
      </c>
      <c r="E72" s="6" t="s">
        <v>113</v>
      </c>
      <c r="F72" s="6" t="s">
        <v>121</v>
      </c>
      <c r="G72" s="6" t="s">
        <v>80</v>
      </c>
      <c r="H72" s="6"/>
      <c r="I72" s="6" t="s">
        <v>458</v>
      </c>
      <c r="J72" s="6" t="s">
        <v>459</v>
      </c>
      <c r="K72" s="6" t="s">
        <v>460</v>
      </c>
      <c r="L72" s="23"/>
      <c r="M72" s="6" t="s">
        <v>33</v>
      </c>
      <c r="N72" s="6"/>
      <c r="O72" s="6"/>
      <c r="P72" s="24"/>
      <c r="Q72" s="6"/>
      <c r="R72" s="6"/>
      <c r="S72" s="6"/>
    </row>
    <row r="73" spans="1:19" x14ac:dyDescent="0.25">
      <c r="A73" s="22" t="s">
        <v>461</v>
      </c>
      <c r="B73" s="6" t="s">
        <v>462</v>
      </c>
      <c r="C73" s="6" t="s">
        <v>463</v>
      </c>
      <c r="D73" s="6" t="s">
        <v>103</v>
      </c>
      <c r="E73" s="6" t="s">
        <v>104</v>
      </c>
      <c r="F73" s="6" t="s">
        <v>105</v>
      </c>
      <c r="G73" s="6" t="s">
        <v>80</v>
      </c>
      <c r="H73" s="6"/>
      <c r="I73" s="6" t="s">
        <v>464</v>
      </c>
      <c r="J73" s="6" t="s">
        <v>465</v>
      </c>
      <c r="K73" s="6" t="s">
        <v>466</v>
      </c>
      <c r="L73" s="23"/>
      <c r="M73" s="6" t="s">
        <v>33</v>
      </c>
      <c r="N73" s="6"/>
      <c r="O73" s="6"/>
      <c r="P73" s="24"/>
      <c r="Q73" s="6"/>
      <c r="R73" s="6"/>
      <c r="S73" s="6"/>
    </row>
    <row r="74" spans="1:19" x14ac:dyDescent="0.25">
      <c r="A74" s="22" t="s">
        <v>467</v>
      </c>
      <c r="B74" s="6" t="s">
        <v>462</v>
      </c>
      <c r="C74" s="6" t="s">
        <v>468</v>
      </c>
      <c r="D74" s="6" t="s">
        <v>103</v>
      </c>
      <c r="E74" s="6" t="s">
        <v>104</v>
      </c>
      <c r="F74" s="6" t="s">
        <v>105</v>
      </c>
      <c r="G74" s="6" t="s">
        <v>80</v>
      </c>
      <c r="H74" s="6"/>
      <c r="I74" s="6" t="s">
        <v>469</v>
      </c>
      <c r="J74" s="6" t="s">
        <v>470</v>
      </c>
      <c r="K74" s="6" t="s">
        <v>471</v>
      </c>
      <c r="L74" s="23"/>
      <c r="M74" s="6" t="s">
        <v>33</v>
      </c>
      <c r="N74" s="6"/>
      <c r="O74" s="6"/>
      <c r="P74" s="24"/>
      <c r="Q74" s="6"/>
      <c r="R74" s="6"/>
      <c r="S74" s="6"/>
    </row>
    <row r="75" spans="1:19" x14ac:dyDescent="0.25">
      <c r="A75" s="22" t="s">
        <v>472</v>
      </c>
      <c r="B75" s="6" t="s">
        <v>462</v>
      </c>
      <c r="C75" s="6" t="s">
        <v>473</v>
      </c>
      <c r="D75" s="6" t="s">
        <v>103</v>
      </c>
      <c r="E75" s="6" t="s">
        <v>104</v>
      </c>
      <c r="F75" s="6" t="s">
        <v>105</v>
      </c>
      <c r="G75" s="6" t="s">
        <v>80</v>
      </c>
      <c r="H75" s="6"/>
      <c r="I75" s="6" t="s">
        <v>474</v>
      </c>
      <c r="J75" s="6" t="s">
        <v>475</v>
      </c>
      <c r="K75" s="6" t="s">
        <v>476</v>
      </c>
      <c r="L75" s="23"/>
      <c r="M75" s="6" t="s">
        <v>33</v>
      </c>
      <c r="N75" s="6"/>
      <c r="O75" s="6"/>
      <c r="P75" s="24"/>
      <c r="Q75" s="6"/>
      <c r="R75" s="6"/>
      <c r="S75" s="6"/>
    </row>
    <row r="76" spans="1:19" x14ac:dyDescent="0.25">
      <c r="A76" s="22" t="s">
        <v>477</v>
      </c>
      <c r="B76" s="6" t="s">
        <v>462</v>
      </c>
      <c r="C76" s="6" t="s">
        <v>478</v>
      </c>
      <c r="D76" s="6" t="s">
        <v>209</v>
      </c>
      <c r="E76" s="6" t="s">
        <v>104</v>
      </c>
      <c r="F76" s="6" t="s">
        <v>105</v>
      </c>
      <c r="G76" s="6" t="s">
        <v>80</v>
      </c>
      <c r="H76" s="6"/>
      <c r="I76" s="6" t="s">
        <v>479</v>
      </c>
      <c r="J76" s="6" t="s">
        <v>480</v>
      </c>
      <c r="K76" s="6" t="s">
        <v>481</v>
      </c>
      <c r="L76" s="23"/>
      <c r="M76" s="6" t="s">
        <v>33</v>
      </c>
      <c r="N76" s="6"/>
      <c r="O76" s="6"/>
      <c r="P76" s="24"/>
      <c r="Q76" s="6"/>
      <c r="R76" s="6"/>
      <c r="S76" s="6"/>
    </row>
    <row r="77" spans="1:19" x14ac:dyDescent="0.25">
      <c r="A77" s="22" t="s">
        <v>482</v>
      </c>
      <c r="B77" s="6" t="s">
        <v>462</v>
      </c>
      <c r="C77" s="6" t="s">
        <v>483</v>
      </c>
      <c r="D77" s="6" t="s">
        <v>112</v>
      </c>
      <c r="E77" s="6" t="s">
        <v>113</v>
      </c>
      <c r="F77" s="6" t="s">
        <v>105</v>
      </c>
      <c r="G77" s="6" t="s">
        <v>80</v>
      </c>
      <c r="H77" s="6"/>
      <c r="I77" s="6" t="s">
        <v>474</v>
      </c>
      <c r="J77" s="6" t="s">
        <v>484</v>
      </c>
      <c r="K77" s="6" t="s">
        <v>485</v>
      </c>
      <c r="L77" s="23"/>
      <c r="M77" s="6" t="s">
        <v>33</v>
      </c>
      <c r="N77" s="6"/>
      <c r="O77" s="6"/>
      <c r="P77" s="24"/>
      <c r="Q77" s="6"/>
      <c r="R77" s="6"/>
      <c r="S77" s="6"/>
    </row>
    <row r="78" spans="1:19" x14ac:dyDescent="0.25">
      <c r="A78" s="22" t="s">
        <v>486</v>
      </c>
      <c r="B78" s="6" t="s">
        <v>462</v>
      </c>
      <c r="C78" s="6" t="s">
        <v>487</v>
      </c>
      <c r="D78" s="6" t="s">
        <v>140</v>
      </c>
      <c r="E78" s="6" t="s">
        <v>113</v>
      </c>
      <c r="F78" s="6" t="s">
        <v>105</v>
      </c>
      <c r="G78" s="6" t="s">
        <v>80</v>
      </c>
      <c r="H78" s="6"/>
      <c r="I78" s="6" t="s">
        <v>488</v>
      </c>
      <c r="J78" s="6" t="s">
        <v>489</v>
      </c>
      <c r="K78" s="6" t="s">
        <v>490</v>
      </c>
      <c r="L78" s="23"/>
      <c r="M78" s="6" t="s">
        <v>33</v>
      </c>
      <c r="N78" s="6"/>
      <c r="O78" s="6"/>
      <c r="P78" s="24"/>
      <c r="Q78" s="6"/>
      <c r="R78" s="6"/>
      <c r="S78" s="6"/>
    </row>
    <row r="79" spans="1:19" x14ac:dyDescent="0.25">
      <c r="A79" s="22" t="s">
        <v>491</v>
      </c>
      <c r="B79" s="6" t="s">
        <v>492</v>
      </c>
      <c r="C79" s="6" t="s">
        <v>493</v>
      </c>
      <c r="D79" s="6" t="s">
        <v>103</v>
      </c>
      <c r="E79" s="6" t="s">
        <v>113</v>
      </c>
      <c r="F79" s="6" t="s">
        <v>105</v>
      </c>
      <c r="G79" s="6" t="s">
        <v>80</v>
      </c>
      <c r="H79" s="6"/>
      <c r="I79" s="6" t="s">
        <v>494</v>
      </c>
      <c r="J79" s="6" t="s">
        <v>495</v>
      </c>
      <c r="K79" s="6" t="s">
        <v>496</v>
      </c>
      <c r="L79" s="23" t="s">
        <v>497</v>
      </c>
      <c r="M79" s="6" t="s">
        <v>33</v>
      </c>
      <c r="N79" s="6"/>
      <c r="O79" s="6"/>
      <c r="P79" s="24"/>
      <c r="Q79" s="6"/>
      <c r="R79" s="6"/>
      <c r="S79" s="6"/>
    </row>
    <row r="80" spans="1:19" x14ac:dyDescent="0.25">
      <c r="A80" s="22" t="s">
        <v>498</v>
      </c>
      <c r="B80" s="6" t="s">
        <v>492</v>
      </c>
      <c r="C80" s="6" t="s">
        <v>499</v>
      </c>
      <c r="D80" s="6" t="s">
        <v>103</v>
      </c>
      <c r="E80" s="6" t="s">
        <v>104</v>
      </c>
      <c r="F80" s="6" t="s">
        <v>105</v>
      </c>
      <c r="G80" s="6" t="s">
        <v>80</v>
      </c>
      <c r="H80" s="6"/>
      <c r="I80" s="6" t="s">
        <v>500</v>
      </c>
      <c r="J80" s="6" t="s">
        <v>501</v>
      </c>
      <c r="K80" s="6" t="s">
        <v>502</v>
      </c>
      <c r="L80" s="23"/>
      <c r="M80" s="6" t="s">
        <v>33</v>
      </c>
      <c r="N80" s="6"/>
      <c r="O80" s="6"/>
      <c r="P80" s="24"/>
      <c r="Q80" s="6"/>
      <c r="R80" s="6"/>
      <c r="S80" s="6"/>
    </row>
    <row r="81" spans="1:19" x14ac:dyDescent="0.25">
      <c r="A81" s="22" t="s">
        <v>503</v>
      </c>
      <c r="B81" s="6" t="s">
        <v>492</v>
      </c>
      <c r="C81" s="6" t="s">
        <v>504</v>
      </c>
      <c r="D81" s="6" t="s">
        <v>209</v>
      </c>
      <c r="E81" s="6" t="s">
        <v>113</v>
      </c>
      <c r="F81" s="6" t="s">
        <v>105</v>
      </c>
      <c r="G81" s="6" t="s">
        <v>80</v>
      </c>
      <c r="H81" s="6"/>
      <c r="I81" s="6" t="s">
        <v>122</v>
      </c>
      <c r="J81" s="6" t="s">
        <v>505</v>
      </c>
      <c r="K81" s="6" t="s">
        <v>506</v>
      </c>
      <c r="L81" s="23"/>
      <c r="M81" s="6" t="s">
        <v>33</v>
      </c>
      <c r="N81" s="6"/>
      <c r="O81" s="6"/>
      <c r="P81" s="24"/>
      <c r="Q81" s="6"/>
      <c r="R81" s="6"/>
      <c r="S81" s="6"/>
    </row>
    <row r="82" spans="1:19" x14ac:dyDescent="0.25">
      <c r="A82" s="22" t="s">
        <v>507</v>
      </c>
      <c r="B82" s="6" t="s">
        <v>492</v>
      </c>
      <c r="C82" s="6" t="s">
        <v>508</v>
      </c>
      <c r="D82" s="6" t="s">
        <v>103</v>
      </c>
      <c r="E82" s="6" t="s">
        <v>104</v>
      </c>
      <c r="F82" s="6" t="s">
        <v>105</v>
      </c>
      <c r="G82" s="6" t="s">
        <v>80</v>
      </c>
      <c r="H82" s="6"/>
      <c r="I82" s="6" t="s">
        <v>509</v>
      </c>
      <c r="J82" s="6" t="s">
        <v>510</v>
      </c>
      <c r="K82" s="6" t="s">
        <v>511</v>
      </c>
      <c r="L82" s="23"/>
      <c r="M82" s="6" t="s">
        <v>33</v>
      </c>
      <c r="N82" s="6"/>
      <c r="O82" s="6"/>
      <c r="P82" s="24"/>
      <c r="Q82" s="6"/>
      <c r="R82" s="6"/>
      <c r="S82" s="6"/>
    </row>
    <row r="83" spans="1:19" x14ac:dyDescent="0.25">
      <c r="A83" s="22" t="s">
        <v>512</v>
      </c>
      <c r="B83" s="6" t="s">
        <v>492</v>
      </c>
      <c r="C83" s="6" t="s">
        <v>513</v>
      </c>
      <c r="D83" s="6" t="s">
        <v>103</v>
      </c>
      <c r="E83" s="6" t="s">
        <v>104</v>
      </c>
      <c r="F83" s="6" t="s">
        <v>105</v>
      </c>
      <c r="G83" s="6" t="s">
        <v>80</v>
      </c>
      <c r="H83" s="6"/>
      <c r="I83" s="6" t="s">
        <v>514</v>
      </c>
      <c r="J83" s="6" t="s">
        <v>515</v>
      </c>
      <c r="K83" s="6" t="s">
        <v>516</v>
      </c>
      <c r="L83" s="23"/>
      <c r="M83" s="6" t="s">
        <v>33</v>
      </c>
      <c r="N83" s="6"/>
      <c r="O83" s="6"/>
      <c r="P83" s="24"/>
      <c r="Q83" s="6"/>
      <c r="R83" s="6"/>
      <c r="S83" s="6"/>
    </row>
    <row r="84" spans="1:19" x14ac:dyDescent="0.25">
      <c r="A84" s="22" t="s">
        <v>517</v>
      </c>
      <c r="B84" s="6" t="s">
        <v>492</v>
      </c>
      <c r="C84" s="6" t="s">
        <v>518</v>
      </c>
      <c r="D84" s="6" t="s">
        <v>209</v>
      </c>
      <c r="E84" s="6" t="s">
        <v>104</v>
      </c>
      <c r="F84" s="6" t="s">
        <v>105</v>
      </c>
      <c r="G84" s="6" t="s">
        <v>80</v>
      </c>
      <c r="H84" s="6"/>
      <c r="I84" s="6" t="s">
        <v>519</v>
      </c>
      <c r="J84" s="6" t="s">
        <v>520</v>
      </c>
      <c r="K84" s="6" t="s">
        <v>521</v>
      </c>
      <c r="L84" s="23"/>
      <c r="M84" s="6" t="s">
        <v>33</v>
      </c>
      <c r="N84" s="6"/>
      <c r="O84" s="6"/>
      <c r="P84" s="24"/>
      <c r="Q84" s="6"/>
      <c r="R84" s="6"/>
      <c r="S84" s="6"/>
    </row>
    <row r="85" spans="1:19" x14ac:dyDescent="0.25">
      <c r="A85" s="22" t="s">
        <v>522</v>
      </c>
      <c r="B85" s="6" t="s">
        <v>492</v>
      </c>
      <c r="C85" s="6" t="s">
        <v>523</v>
      </c>
      <c r="D85" s="6" t="s">
        <v>140</v>
      </c>
      <c r="E85" s="6" t="s">
        <v>113</v>
      </c>
      <c r="F85" s="6" t="s">
        <v>105</v>
      </c>
      <c r="G85" s="6" t="s">
        <v>80</v>
      </c>
      <c r="H85" s="6"/>
      <c r="I85" s="6" t="s">
        <v>524</v>
      </c>
      <c r="J85" s="6" t="s">
        <v>525</v>
      </c>
      <c r="K85" s="6" t="s">
        <v>526</v>
      </c>
      <c r="L85" s="23"/>
      <c r="M85" s="6" t="s">
        <v>33</v>
      </c>
      <c r="N85" s="6"/>
      <c r="O85" s="6"/>
      <c r="P85" s="24"/>
      <c r="Q85" s="6"/>
      <c r="R85" s="6"/>
      <c r="S85" s="6"/>
    </row>
    <row r="86" spans="1:19" x14ac:dyDescent="0.25">
      <c r="A86" s="22" t="s">
        <v>527</v>
      </c>
      <c r="B86" s="6" t="s">
        <v>492</v>
      </c>
      <c r="C86" s="6" t="s">
        <v>528</v>
      </c>
      <c r="D86" s="6" t="s">
        <v>112</v>
      </c>
      <c r="E86" s="6" t="s">
        <v>113</v>
      </c>
      <c r="F86" s="6" t="s">
        <v>105</v>
      </c>
      <c r="G86" s="6" t="s">
        <v>80</v>
      </c>
      <c r="H86" s="6"/>
      <c r="I86" s="6" t="s">
        <v>529</v>
      </c>
      <c r="J86" s="6" t="s">
        <v>530</v>
      </c>
      <c r="K86" s="6" t="s">
        <v>531</v>
      </c>
      <c r="L86" s="23"/>
      <c r="M86" s="6" t="s">
        <v>33</v>
      </c>
      <c r="N86" s="6"/>
      <c r="O86" s="6"/>
      <c r="P86" s="24"/>
      <c r="Q86" s="6"/>
      <c r="R86" s="6"/>
      <c r="S86" s="6"/>
    </row>
    <row r="87" spans="1:19" x14ac:dyDescent="0.25">
      <c r="A87" s="22" t="s">
        <v>532</v>
      </c>
      <c r="B87" s="6" t="s">
        <v>533</v>
      </c>
      <c r="C87" s="6" t="s">
        <v>534</v>
      </c>
      <c r="D87" s="6" t="s">
        <v>103</v>
      </c>
      <c r="E87" s="6" t="s">
        <v>145</v>
      </c>
      <c r="F87" s="6" t="s">
        <v>105</v>
      </c>
      <c r="G87" s="6" t="s">
        <v>80</v>
      </c>
      <c r="H87" s="6"/>
      <c r="I87" s="6" t="s">
        <v>535</v>
      </c>
      <c r="J87" s="6" t="s">
        <v>536</v>
      </c>
      <c r="K87" s="6" t="s">
        <v>537</v>
      </c>
      <c r="L87" s="23"/>
      <c r="M87" s="6" t="s">
        <v>33</v>
      </c>
      <c r="N87" s="6"/>
      <c r="O87" s="6"/>
      <c r="P87" s="24"/>
      <c r="Q87" s="6"/>
      <c r="R87" s="6"/>
      <c r="S87" s="6"/>
    </row>
    <row r="88" spans="1:19" x14ac:dyDescent="0.25">
      <c r="A88" s="22" t="s">
        <v>538</v>
      </c>
      <c r="B88" s="6" t="s">
        <v>533</v>
      </c>
      <c r="C88" s="6" t="s">
        <v>539</v>
      </c>
      <c r="D88" s="6" t="s">
        <v>103</v>
      </c>
      <c r="E88" s="6" t="s">
        <v>104</v>
      </c>
      <c r="F88" s="6" t="s">
        <v>105</v>
      </c>
      <c r="G88" s="6" t="s">
        <v>80</v>
      </c>
      <c r="H88" s="6"/>
      <c r="I88" s="6" t="s">
        <v>122</v>
      </c>
      <c r="J88" s="6" t="s">
        <v>540</v>
      </c>
      <c r="K88" s="6" t="s">
        <v>541</v>
      </c>
      <c r="L88" s="23"/>
      <c r="M88" s="6" t="s">
        <v>33</v>
      </c>
      <c r="N88" s="6"/>
      <c r="O88" s="6"/>
      <c r="P88" s="24"/>
      <c r="Q88" s="6"/>
      <c r="R88" s="6"/>
      <c r="S88" s="6"/>
    </row>
    <row r="89" spans="1:19" x14ac:dyDescent="0.25">
      <c r="A89" s="22" t="s">
        <v>542</v>
      </c>
      <c r="B89" s="6" t="s">
        <v>533</v>
      </c>
      <c r="C89" s="6" t="s">
        <v>543</v>
      </c>
      <c r="D89" s="6" t="s">
        <v>103</v>
      </c>
      <c r="E89" s="6" t="s">
        <v>104</v>
      </c>
      <c r="F89" s="6" t="s">
        <v>105</v>
      </c>
      <c r="G89" s="6" t="s">
        <v>80</v>
      </c>
      <c r="H89" s="6"/>
      <c r="I89" s="6" t="s">
        <v>122</v>
      </c>
      <c r="J89" s="6" t="s">
        <v>544</v>
      </c>
      <c r="K89" s="6" t="s">
        <v>545</v>
      </c>
      <c r="L89" s="23"/>
      <c r="M89" s="6" t="s">
        <v>33</v>
      </c>
      <c r="N89" s="6"/>
      <c r="O89" s="6"/>
      <c r="P89" s="24"/>
      <c r="Q89" s="6"/>
      <c r="R89" s="6"/>
      <c r="S89" s="6"/>
    </row>
    <row r="90" spans="1:19" x14ac:dyDescent="0.25">
      <c r="A90" s="22" t="s">
        <v>546</v>
      </c>
      <c r="B90" s="6" t="s">
        <v>533</v>
      </c>
      <c r="C90" s="6" t="s">
        <v>547</v>
      </c>
      <c r="D90" s="6" t="s">
        <v>103</v>
      </c>
      <c r="E90" s="6" t="s">
        <v>113</v>
      </c>
      <c r="F90" s="6" t="s">
        <v>105</v>
      </c>
      <c r="G90" s="6" t="s">
        <v>80</v>
      </c>
      <c r="H90" s="6"/>
      <c r="I90" s="6" t="s">
        <v>122</v>
      </c>
      <c r="J90" s="6" t="s">
        <v>548</v>
      </c>
      <c r="K90" s="6" t="s">
        <v>549</v>
      </c>
      <c r="L90" s="23"/>
      <c r="M90" s="6" t="s">
        <v>33</v>
      </c>
      <c r="N90" s="6"/>
      <c r="O90" s="6"/>
      <c r="P90" s="24"/>
      <c r="Q90" s="6"/>
      <c r="R90" s="6"/>
      <c r="S90" s="6"/>
    </row>
    <row r="91" spans="1:19" x14ac:dyDescent="0.25">
      <c r="A91" s="22" t="s">
        <v>550</v>
      </c>
      <c r="B91" s="6" t="s">
        <v>533</v>
      </c>
      <c r="C91" s="6" t="s">
        <v>551</v>
      </c>
      <c r="D91" s="6" t="s">
        <v>209</v>
      </c>
      <c r="E91" s="6" t="s">
        <v>113</v>
      </c>
      <c r="F91" s="6" t="s">
        <v>105</v>
      </c>
      <c r="G91" s="6" t="s">
        <v>80</v>
      </c>
      <c r="H91" s="6"/>
      <c r="I91" s="6" t="s">
        <v>122</v>
      </c>
      <c r="J91" s="6" t="s">
        <v>552</v>
      </c>
      <c r="K91" s="6" t="s">
        <v>553</v>
      </c>
      <c r="L91" s="23"/>
      <c r="M91" s="6" t="s">
        <v>33</v>
      </c>
      <c r="N91" s="6"/>
      <c r="O91" s="6"/>
      <c r="P91" s="24"/>
      <c r="Q91" s="6"/>
      <c r="R91" s="6"/>
      <c r="S91" s="6"/>
    </row>
    <row r="92" spans="1:19" x14ac:dyDescent="0.25">
      <c r="A92" s="22" t="s">
        <v>554</v>
      </c>
      <c r="B92" s="6" t="s">
        <v>533</v>
      </c>
      <c r="C92" s="6" t="s">
        <v>555</v>
      </c>
      <c r="D92" s="6" t="s">
        <v>112</v>
      </c>
      <c r="E92" s="6" t="s">
        <v>113</v>
      </c>
      <c r="F92" s="6" t="s">
        <v>105</v>
      </c>
      <c r="G92" s="6" t="s">
        <v>80</v>
      </c>
      <c r="H92" s="6"/>
      <c r="I92" s="6" t="s">
        <v>556</v>
      </c>
      <c r="J92" s="6" t="s">
        <v>557</v>
      </c>
      <c r="K92" s="6" t="s">
        <v>558</v>
      </c>
      <c r="L92" s="23"/>
      <c r="M92" s="6" t="s">
        <v>33</v>
      </c>
      <c r="N92" s="6"/>
      <c r="O92" s="6"/>
      <c r="P92" s="24"/>
      <c r="Q92" s="6"/>
      <c r="R92" s="6"/>
      <c r="S92" s="6"/>
    </row>
    <row r="93" spans="1:19" x14ac:dyDescent="0.25">
      <c r="A93" s="22" t="s">
        <v>559</v>
      </c>
      <c r="B93" s="6" t="s">
        <v>560</v>
      </c>
      <c r="C93" s="6" t="s">
        <v>561</v>
      </c>
      <c r="D93" s="6" t="s">
        <v>103</v>
      </c>
      <c r="E93" s="6" t="s">
        <v>104</v>
      </c>
      <c r="F93" s="6" t="s">
        <v>105</v>
      </c>
      <c r="G93" s="6" t="s">
        <v>80</v>
      </c>
      <c r="H93" s="6"/>
      <c r="I93" s="6" t="s">
        <v>562</v>
      </c>
      <c r="J93" s="6" t="s">
        <v>563</v>
      </c>
      <c r="K93" s="6" t="s">
        <v>564</v>
      </c>
      <c r="L93" s="23"/>
      <c r="M93" s="6" t="s">
        <v>33</v>
      </c>
      <c r="N93" s="6"/>
      <c r="O93" s="6"/>
      <c r="P93" s="24"/>
      <c r="Q93" s="6"/>
      <c r="R93" s="6"/>
      <c r="S93" s="6"/>
    </row>
    <row r="94" spans="1:19" x14ac:dyDescent="0.25">
      <c r="A94" s="22" t="s">
        <v>565</v>
      </c>
      <c r="B94" s="6" t="s">
        <v>560</v>
      </c>
      <c r="C94" s="6" t="s">
        <v>566</v>
      </c>
      <c r="D94" s="6" t="s">
        <v>103</v>
      </c>
      <c r="E94" s="6" t="s">
        <v>113</v>
      </c>
      <c r="F94" s="6" t="s">
        <v>105</v>
      </c>
      <c r="G94" s="6" t="s">
        <v>80</v>
      </c>
      <c r="H94" s="6"/>
      <c r="I94" s="6" t="s">
        <v>122</v>
      </c>
      <c r="J94" s="6" t="s">
        <v>567</v>
      </c>
      <c r="K94" s="6" t="s">
        <v>568</v>
      </c>
      <c r="L94" s="23"/>
      <c r="M94" s="6" t="s">
        <v>33</v>
      </c>
      <c r="N94" s="6"/>
      <c r="O94" s="6"/>
      <c r="P94" s="24"/>
      <c r="Q94" s="6"/>
      <c r="R94" s="6"/>
      <c r="S94" s="6"/>
    </row>
    <row r="95" spans="1:19" x14ac:dyDescent="0.25">
      <c r="A95" s="22" t="s">
        <v>569</v>
      </c>
      <c r="B95" s="6" t="s">
        <v>560</v>
      </c>
      <c r="C95" s="6" t="s">
        <v>570</v>
      </c>
      <c r="D95" s="6" t="s">
        <v>103</v>
      </c>
      <c r="E95" s="6" t="s">
        <v>104</v>
      </c>
      <c r="F95" s="6" t="s">
        <v>121</v>
      </c>
      <c r="G95" s="6" t="s">
        <v>80</v>
      </c>
      <c r="H95" s="6"/>
      <c r="I95" s="6" t="s">
        <v>364</v>
      </c>
      <c r="J95" s="6" t="s">
        <v>571</v>
      </c>
      <c r="K95" s="6" t="s">
        <v>572</v>
      </c>
      <c r="L95" s="23" t="s">
        <v>573</v>
      </c>
      <c r="M95" s="6" t="s">
        <v>33</v>
      </c>
      <c r="N95" s="6"/>
      <c r="O95" s="6"/>
      <c r="P95" s="24"/>
      <c r="Q95" s="6"/>
      <c r="R95" s="6"/>
      <c r="S95" s="6"/>
    </row>
    <row r="96" spans="1:19" x14ac:dyDescent="0.25">
      <c r="A96" s="22" t="s">
        <v>574</v>
      </c>
      <c r="B96" s="6" t="s">
        <v>575</v>
      </c>
      <c r="C96" s="6" t="s">
        <v>576</v>
      </c>
      <c r="D96" s="6" t="s">
        <v>103</v>
      </c>
      <c r="E96" s="6" t="s">
        <v>104</v>
      </c>
      <c r="F96" s="6" t="s">
        <v>105</v>
      </c>
      <c r="G96" s="6" t="s">
        <v>80</v>
      </c>
      <c r="H96" s="6"/>
      <c r="I96" s="6" t="s">
        <v>577</v>
      </c>
      <c r="J96" s="6" t="s">
        <v>578</v>
      </c>
      <c r="K96" s="6" t="s">
        <v>579</v>
      </c>
      <c r="L96" s="23"/>
      <c r="M96" s="6" t="s">
        <v>33</v>
      </c>
      <c r="N96" s="6"/>
      <c r="O96" s="6"/>
      <c r="P96" s="24"/>
      <c r="Q96" s="6"/>
      <c r="R96" s="6"/>
      <c r="S96" s="6"/>
    </row>
    <row r="97" spans="1:19" x14ac:dyDescent="0.25">
      <c r="A97" s="22" t="s">
        <v>580</v>
      </c>
      <c r="B97" s="6" t="s">
        <v>575</v>
      </c>
      <c r="C97" s="6" t="s">
        <v>581</v>
      </c>
      <c r="D97" s="6" t="s">
        <v>103</v>
      </c>
      <c r="E97" s="6" t="s">
        <v>104</v>
      </c>
      <c r="F97" s="6" t="s">
        <v>105</v>
      </c>
      <c r="G97" s="6" t="s">
        <v>80</v>
      </c>
      <c r="H97" s="6"/>
      <c r="I97" s="6" t="s">
        <v>582</v>
      </c>
      <c r="J97" s="6" t="s">
        <v>583</v>
      </c>
      <c r="K97" s="6" t="s">
        <v>584</v>
      </c>
      <c r="L97" s="23"/>
      <c r="M97" s="6" t="s">
        <v>33</v>
      </c>
      <c r="N97" s="6"/>
      <c r="O97" s="6"/>
      <c r="P97" s="24"/>
      <c r="Q97" s="6"/>
      <c r="R97" s="6"/>
      <c r="S97" s="6"/>
    </row>
    <row r="98" spans="1:19" x14ac:dyDescent="0.25">
      <c r="A98" s="22" t="s">
        <v>585</v>
      </c>
      <c r="B98" s="6" t="s">
        <v>575</v>
      </c>
      <c r="C98" s="6" t="s">
        <v>586</v>
      </c>
      <c r="D98" s="6" t="s">
        <v>209</v>
      </c>
      <c r="E98" s="6" t="s">
        <v>104</v>
      </c>
      <c r="F98" s="6" t="s">
        <v>105</v>
      </c>
      <c r="G98" s="6" t="s">
        <v>80</v>
      </c>
      <c r="H98" s="6"/>
      <c r="I98" s="6" t="s">
        <v>587</v>
      </c>
      <c r="J98" s="6" t="s">
        <v>588</v>
      </c>
      <c r="K98" s="6" t="s">
        <v>589</v>
      </c>
      <c r="L98" s="23"/>
      <c r="M98" s="6" t="s">
        <v>33</v>
      </c>
      <c r="N98" s="6"/>
      <c r="O98" s="6"/>
      <c r="P98" s="24"/>
      <c r="Q98" s="6"/>
      <c r="R98" s="6"/>
      <c r="S98" s="6"/>
    </row>
    <row r="99" spans="1:19" x14ac:dyDescent="0.25">
      <c r="A99" s="22" t="s">
        <v>590</v>
      </c>
      <c r="B99" s="6" t="s">
        <v>575</v>
      </c>
      <c r="C99" s="6" t="s">
        <v>591</v>
      </c>
      <c r="D99" s="6" t="s">
        <v>103</v>
      </c>
      <c r="E99" s="6" t="s">
        <v>104</v>
      </c>
      <c r="F99" s="6" t="s">
        <v>105</v>
      </c>
      <c r="G99" s="6" t="s">
        <v>80</v>
      </c>
      <c r="H99" s="6"/>
      <c r="I99" s="6" t="s">
        <v>592</v>
      </c>
      <c r="J99" s="6" t="s">
        <v>593</v>
      </c>
      <c r="K99" s="6" t="s">
        <v>594</v>
      </c>
      <c r="L99" s="23"/>
      <c r="M99" s="6" t="s">
        <v>33</v>
      </c>
      <c r="N99" s="6"/>
      <c r="O99" s="6"/>
      <c r="P99" s="24"/>
      <c r="Q99" s="6"/>
      <c r="R99" s="6"/>
      <c r="S99" s="6"/>
    </row>
    <row r="100" spans="1:19" x14ac:dyDescent="0.25">
      <c r="A100" s="22" t="s">
        <v>595</v>
      </c>
      <c r="B100" s="6" t="s">
        <v>575</v>
      </c>
      <c r="C100" s="6" t="s">
        <v>596</v>
      </c>
      <c r="D100" s="6" t="s">
        <v>112</v>
      </c>
      <c r="E100" s="6" t="s">
        <v>104</v>
      </c>
      <c r="F100" s="6" t="s">
        <v>121</v>
      </c>
      <c r="G100" s="6" t="s">
        <v>79</v>
      </c>
      <c r="H100" s="6"/>
      <c r="I100" s="6" t="s">
        <v>597</v>
      </c>
      <c r="J100" s="6" t="s">
        <v>598</v>
      </c>
      <c r="K100" s="6" t="s">
        <v>599</v>
      </c>
      <c r="L100" s="23"/>
      <c r="M100" s="6" t="s">
        <v>33</v>
      </c>
      <c r="N100" s="6"/>
      <c r="O100" s="6"/>
      <c r="P100" s="24"/>
      <c r="Q100" s="6"/>
      <c r="R100" s="6"/>
      <c r="S100" s="6"/>
    </row>
    <row r="101" spans="1:19" x14ac:dyDescent="0.25">
      <c r="A101" s="22" t="s">
        <v>600</v>
      </c>
      <c r="B101" s="6" t="s">
        <v>575</v>
      </c>
      <c r="C101" s="6" t="s">
        <v>601</v>
      </c>
      <c r="D101" s="6" t="s">
        <v>103</v>
      </c>
      <c r="E101" s="6" t="s">
        <v>113</v>
      </c>
      <c r="F101" s="6" t="s">
        <v>105</v>
      </c>
      <c r="G101" s="6" t="s">
        <v>79</v>
      </c>
      <c r="H101" s="6"/>
      <c r="I101" s="6" t="s">
        <v>602</v>
      </c>
      <c r="J101" s="6" t="s">
        <v>603</v>
      </c>
      <c r="K101" s="6" t="s">
        <v>604</v>
      </c>
      <c r="L101" s="23"/>
      <c r="M101" s="6" t="s">
        <v>33</v>
      </c>
      <c r="N101" s="6"/>
      <c r="O101" s="6"/>
      <c r="P101" s="24"/>
      <c r="Q101" s="6"/>
      <c r="R101" s="6"/>
      <c r="S101" s="6"/>
    </row>
    <row r="102" spans="1:19" x14ac:dyDescent="0.25">
      <c r="A102" s="22" t="s">
        <v>605</v>
      </c>
      <c r="B102" s="6" t="s">
        <v>575</v>
      </c>
      <c r="C102" s="6" t="s">
        <v>606</v>
      </c>
      <c r="D102" s="6" t="s">
        <v>112</v>
      </c>
      <c r="E102" s="6" t="s">
        <v>113</v>
      </c>
      <c r="F102" s="6" t="s">
        <v>105</v>
      </c>
      <c r="G102" s="6" t="s">
        <v>79</v>
      </c>
      <c r="H102" s="6"/>
      <c r="I102" s="6" t="s">
        <v>607</v>
      </c>
      <c r="J102" s="6" t="s">
        <v>608</v>
      </c>
      <c r="K102" s="6" t="s">
        <v>609</v>
      </c>
      <c r="L102" s="23"/>
      <c r="M102" s="6" t="s">
        <v>33</v>
      </c>
      <c r="N102" s="6"/>
      <c r="O102" s="6"/>
      <c r="P102" s="24"/>
      <c r="Q102" s="6"/>
      <c r="R102" s="6"/>
      <c r="S102" s="6"/>
    </row>
    <row r="103" spans="1:19" x14ac:dyDescent="0.25">
      <c r="A103" s="22" t="s">
        <v>610</v>
      </c>
      <c r="B103" s="6" t="s">
        <v>575</v>
      </c>
      <c r="C103" s="6" t="s">
        <v>611</v>
      </c>
      <c r="D103" s="6" t="s">
        <v>103</v>
      </c>
      <c r="E103" s="6" t="s">
        <v>104</v>
      </c>
      <c r="F103" s="6" t="s">
        <v>105</v>
      </c>
      <c r="G103" s="6" t="s">
        <v>80</v>
      </c>
      <c r="H103" s="6"/>
      <c r="I103" s="6" t="s">
        <v>122</v>
      </c>
      <c r="J103" s="6" t="s">
        <v>612</v>
      </c>
      <c r="K103" s="6" t="s">
        <v>613</v>
      </c>
      <c r="L103" s="23"/>
      <c r="M103" s="6" t="s">
        <v>33</v>
      </c>
      <c r="N103" s="6"/>
      <c r="O103" s="6"/>
      <c r="P103" s="24"/>
      <c r="Q103" s="6"/>
      <c r="R103" s="6"/>
      <c r="S103" s="6"/>
    </row>
    <row r="104" spans="1:19" x14ac:dyDescent="0.25">
      <c r="A104" s="22" t="s">
        <v>614</v>
      </c>
      <c r="B104" s="6" t="s">
        <v>575</v>
      </c>
      <c r="C104" s="6" t="s">
        <v>615</v>
      </c>
      <c r="D104" s="6" t="s">
        <v>209</v>
      </c>
      <c r="E104" s="6" t="s">
        <v>104</v>
      </c>
      <c r="F104" s="6" t="s">
        <v>105</v>
      </c>
      <c r="G104" s="6" t="s">
        <v>80</v>
      </c>
      <c r="H104" s="6"/>
      <c r="I104" s="6" t="s">
        <v>122</v>
      </c>
      <c r="J104" s="6" t="s">
        <v>616</v>
      </c>
      <c r="K104" s="6" t="s">
        <v>617</v>
      </c>
      <c r="L104" s="23"/>
      <c r="M104" s="6" t="s">
        <v>33</v>
      </c>
      <c r="N104" s="6"/>
      <c r="O104" s="6"/>
      <c r="P104" s="24"/>
      <c r="Q104" s="6"/>
      <c r="R104" s="6"/>
      <c r="S104" s="6"/>
    </row>
    <row r="105" spans="1:19" x14ac:dyDescent="0.25">
      <c r="A105" s="22" t="s">
        <v>618</v>
      </c>
      <c r="B105" s="6" t="s">
        <v>575</v>
      </c>
      <c r="C105" s="6" t="s">
        <v>619</v>
      </c>
      <c r="D105" s="6" t="s">
        <v>209</v>
      </c>
      <c r="E105" s="6" t="s">
        <v>113</v>
      </c>
      <c r="F105" s="6" t="s">
        <v>105</v>
      </c>
      <c r="G105" s="6" t="s">
        <v>80</v>
      </c>
      <c r="H105" s="6"/>
      <c r="I105" s="6" t="s">
        <v>620</v>
      </c>
      <c r="J105" s="6" t="s">
        <v>621</v>
      </c>
      <c r="K105" s="6" t="s">
        <v>622</v>
      </c>
      <c r="L105" s="23"/>
      <c r="M105" s="6" t="s">
        <v>33</v>
      </c>
      <c r="N105" s="6"/>
      <c r="O105" s="6"/>
      <c r="P105" s="24"/>
      <c r="Q105" s="6"/>
      <c r="R105" s="6"/>
      <c r="S105" s="6"/>
    </row>
    <row r="106" spans="1:19" x14ac:dyDescent="0.25">
      <c r="A106" s="22" t="s">
        <v>623</v>
      </c>
      <c r="B106" s="6" t="s">
        <v>575</v>
      </c>
      <c r="C106" s="6" t="s">
        <v>624</v>
      </c>
      <c r="D106" s="6" t="s">
        <v>103</v>
      </c>
      <c r="E106" s="6" t="s">
        <v>113</v>
      </c>
      <c r="F106" s="6" t="s">
        <v>105</v>
      </c>
      <c r="G106" s="6" t="s">
        <v>80</v>
      </c>
      <c r="H106" s="6"/>
      <c r="I106" s="6" t="s">
        <v>625</v>
      </c>
      <c r="J106" s="6" t="s">
        <v>626</v>
      </c>
      <c r="K106" s="6" t="s">
        <v>627</v>
      </c>
      <c r="L106" s="23"/>
      <c r="M106" s="6" t="s">
        <v>33</v>
      </c>
      <c r="N106" s="6"/>
      <c r="O106" s="6"/>
      <c r="P106" s="24"/>
      <c r="Q106" s="6"/>
      <c r="R106" s="6"/>
      <c r="S106" s="6"/>
    </row>
    <row r="107" spans="1:19" x14ac:dyDescent="0.25">
      <c r="A107" s="22" t="s">
        <v>628</v>
      </c>
      <c r="B107" s="6" t="s">
        <v>629</v>
      </c>
      <c r="C107" s="6" t="s">
        <v>630</v>
      </c>
      <c r="D107" s="6" t="s">
        <v>103</v>
      </c>
      <c r="E107" s="6" t="s">
        <v>104</v>
      </c>
      <c r="F107" s="6" t="s">
        <v>121</v>
      </c>
      <c r="G107" s="6" t="s">
        <v>80</v>
      </c>
      <c r="H107" s="6"/>
      <c r="I107" s="6" t="s">
        <v>122</v>
      </c>
      <c r="J107" s="6" t="s">
        <v>631</v>
      </c>
      <c r="K107" s="6" t="s">
        <v>632</v>
      </c>
      <c r="L107" s="23"/>
      <c r="M107" s="6" t="s">
        <v>33</v>
      </c>
      <c r="N107" s="6"/>
      <c r="O107" s="6"/>
      <c r="P107" s="24"/>
      <c r="Q107" s="6"/>
      <c r="R107" s="6"/>
      <c r="S107" s="6"/>
    </row>
    <row r="108" spans="1:19" x14ac:dyDescent="0.25">
      <c r="A108" s="22" t="s">
        <v>633</v>
      </c>
      <c r="B108" s="6" t="s">
        <v>629</v>
      </c>
      <c r="C108" s="6" t="s">
        <v>634</v>
      </c>
      <c r="D108" s="6" t="s">
        <v>103</v>
      </c>
      <c r="E108" s="6" t="s">
        <v>113</v>
      </c>
      <c r="F108" s="6" t="s">
        <v>121</v>
      </c>
      <c r="G108" s="6" t="s">
        <v>80</v>
      </c>
      <c r="H108" s="6"/>
      <c r="I108" s="6" t="s">
        <v>122</v>
      </c>
      <c r="J108" s="6" t="s">
        <v>635</v>
      </c>
      <c r="K108" s="6" t="s">
        <v>636</v>
      </c>
      <c r="L108" s="23"/>
      <c r="M108" s="6" t="s">
        <v>33</v>
      </c>
      <c r="N108" s="6"/>
      <c r="O108" s="6"/>
      <c r="P108" s="24"/>
      <c r="Q108" s="6"/>
      <c r="R108" s="6"/>
      <c r="S108" s="6"/>
    </row>
    <row r="109" spans="1:19" x14ac:dyDescent="0.25">
      <c r="A109" s="22" t="s">
        <v>637</v>
      </c>
      <c r="B109" s="6" t="s">
        <v>629</v>
      </c>
      <c r="C109" s="6" t="s">
        <v>638</v>
      </c>
      <c r="D109" s="6" t="s">
        <v>120</v>
      </c>
      <c r="E109" s="6" t="s">
        <v>145</v>
      </c>
      <c r="F109" s="6" t="s">
        <v>105</v>
      </c>
      <c r="G109" s="6" t="s">
        <v>80</v>
      </c>
      <c r="H109" s="6"/>
      <c r="I109" s="6" t="s">
        <v>639</v>
      </c>
      <c r="J109" s="6" t="s">
        <v>640</v>
      </c>
      <c r="K109" s="6" t="s">
        <v>641</v>
      </c>
      <c r="L109" s="23"/>
      <c r="M109" s="6" t="s">
        <v>33</v>
      </c>
      <c r="N109" s="6"/>
      <c r="O109" s="6"/>
      <c r="P109" s="24"/>
      <c r="Q109" s="6"/>
      <c r="R109" s="6"/>
      <c r="S109" s="6"/>
    </row>
    <row r="110" spans="1:19" x14ac:dyDescent="0.25">
      <c r="A110" s="22" t="s">
        <v>642</v>
      </c>
      <c r="B110" s="6" t="s">
        <v>629</v>
      </c>
      <c r="C110" s="6" t="s">
        <v>643</v>
      </c>
      <c r="D110" s="6" t="s">
        <v>103</v>
      </c>
      <c r="E110" s="6" t="s">
        <v>113</v>
      </c>
      <c r="F110" s="6" t="s">
        <v>121</v>
      </c>
      <c r="G110" s="6" t="s">
        <v>80</v>
      </c>
      <c r="H110" s="6"/>
      <c r="I110" s="6" t="s">
        <v>122</v>
      </c>
      <c r="J110" s="6" t="s">
        <v>644</v>
      </c>
      <c r="K110" s="6" t="s">
        <v>645</v>
      </c>
      <c r="L110" s="23"/>
      <c r="M110" s="6" t="s">
        <v>33</v>
      </c>
      <c r="N110" s="6"/>
      <c r="O110" s="6"/>
      <c r="P110" s="24"/>
      <c r="Q110" s="6"/>
      <c r="R110" s="6"/>
      <c r="S110" s="6"/>
    </row>
    <row r="111" spans="1:19" x14ac:dyDescent="0.25">
      <c r="A111" s="22" t="s">
        <v>646</v>
      </c>
      <c r="B111" s="6" t="s">
        <v>629</v>
      </c>
      <c r="C111" s="6" t="s">
        <v>647</v>
      </c>
      <c r="D111" s="6" t="s">
        <v>103</v>
      </c>
      <c r="E111" s="6" t="s">
        <v>104</v>
      </c>
      <c r="F111" s="6" t="s">
        <v>121</v>
      </c>
      <c r="G111" s="6" t="s">
        <v>80</v>
      </c>
      <c r="H111" s="6"/>
      <c r="I111" s="6" t="s">
        <v>648</v>
      </c>
      <c r="J111" s="6" t="s">
        <v>649</v>
      </c>
      <c r="K111" s="6" t="s">
        <v>650</v>
      </c>
      <c r="L111" s="23" t="s">
        <v>651</v>
      </c>
      <c r="M111" s="6" t="s">
        <v>33</v>
      </c>
      <c r="N111" s="6"/>
      <c r="O111" s="6"/>
      <c r="P111" s="24"/>
      <c r="Q111" s="6"/>
      <c r="R111" s="6"/>
      <c r="S111" s="6"/>
    </row>
    <row r="112" spans="1:19" x14ac:dyDescent="0.25">
      <c r="A112" s="22" t="s">
        <v>652</v>
      </c>
      <c r="B112" s="6" t="s">
        <v>653</v>
      </c>
      <c r="C112" s="6" t="s">
        <v>654</v>
      </c>
      <c r="D112" s="6" t="s">
        <v>103</v>
      </c>
      <c r="E112" s="6" t="s">
        <v>113</v>
      </c>
      <c r="F112" s="6" t="s">
        <v>105</v>
      </c>
      <c r="G112" s="6" t="s">
        <v>80</v>
      </c>
      <c r="H112" s="6"/>
      <c r="I112" s="6" t="s">
        <v>122</v>
      </c>
      <c r="J112" s="6" t="s">
        <v>655</v>
      </c>
      <c r="K112" s="6" t="s">
        <v>656</v>
      </c>
      <c r="L112" s="23"/>
      <c r="M112" s="6" t="s">
        <v>33</v>
      </c>
      <c r="N112" s="6"/>
      <c r="O112" s="6"/>
      <c r="P112" s="24"/>
      <c r="Q112" s="6"/>
      <c r="R112" s="6"/>
      <c r="S112" s="6"/>
    </row>
    <row r="113" spans="1:19" x14ac:dyDescent="0.25">
      <c r="A113" s="22" t="s">
        <v>657</v>
      </c>
      <c r="B113" s="6" t="s">
        <v>653</v>
      </c>
      <c r="C113" s="6" t="s">
        <v>658</v>
      </c>
      <c r="D113" s="6" t="s">
        <v>209</v>
      </c>
      <c r="E113" s="6" t="s">
        <v>113</v>
      </c>
      <c r="F113" s="6" t="s">
        <v>105</v>
      </c>
      <c r="G113" s="6" t="s">
        <v>80</v>
      </c>
      <c r="H113" s="6"/>
      <c r="I113" s="6" t="s">
        <v>659</v>
      </c>
      <c r="J113" s="6" t="s">
        <v>660</v>
      </c>
      <c r="K113" s="6" t="s">
        <v>661</v>
      </c>
      <c r="L113" s="23"/>
      <c r="M113" s="6" t="s">
        <v>33</v>
      </c>
      <c r="N113" s="6"/>
      <c r="O113" s="6"/>
      <c r="P113" s="24"/>
      <c r="Q113" s="6"/>
      <c r="R113" s="6"/>
      <c r="S113" s="6"/>
    </row>
    <row r="114" spans="1:19" x14ac:dyDescent="0.25">
      <c r="A114" s="22" t="s">
        <v>662</v>
      </c>
      <c r="B114" s="6" t="s">
        <v>663</v>
      </c>
      <c r="C114" s="6" t="s">
        <v>664</v>
      </c>
      <c r="D114" s="6" t="s">
        <v>103</v>
      </c>
      <c r="E114" s="6" t="s">
        <v>145</v>
      </c>
      <c r="F114" s="6" t="s">
        <v>105</v>
      </c>
      <c r="G114" s="6" t="s">
        <v>80</v>
      </c>
      <c r="H114" s="6"/>
      <c r="I114" s="6" t="s">
        <v>122</v>
      </c>
      <c r="J114" s="6" t="s">
        <v>665</v>
      </c>
      <c r="K114" s="6" t="s">
        <v>666</v>
      </c>
      <c r="L114" s="23" t="s">
        <v>667</v>
      </c>
      <c r="M114" s="6" t="s">
        <v>33</v>
      </c>
      <c r="N114" s="6"/>
      <c r="O114" s="6"/>
      <c r="P114" s="24"/>
      <c r="Q114" s="6"/>
      <c r="R114" s="6"/>
      <c r="S114" s="6"/>
    </row>
    <row r="115" spans="1:19" x14ac:dyDescent="0.25">
      <c r="A115" s="22" t="s">
        <v>668</v>
      </c>
      <c r="B115" s="6" t="s">
        <v>663</v>
      </c>
      <c r="C115" s="6" t="s">
        <v>669</v>
      </c>
      <c r="D115" s="6" t="s">
        <v>140</v>
      </c>
      <c r="E115" s="6" t="s">
        <v>145</v>
      </c>
      <c r="F115" s="6" t="s">
        <v>105</v>
      </c>
      <c r="G115" s="6" t="s">
        <v>80</v>
      </c>
      <c r="H115" s="6"/>
      <c r="I115" s="6" t="s">
        <v>670</v>
      </c>
      <c r="J115" s="6" t="s">
        <v>671</v>
      </c>
      <c r="K115" s="6" t="s">
        <v>672</v>
      </c>
      <c r="L115" s="23" t="s">
        <v>673</v>
      </c>
      <c r="M115" s="6" t="s">
        <v>33</v>
      </c>
      <c r="N115" s="6"/>
      <c r="O115" s="6"/>
      <c r="P115" s="24"/>
      <c r="Q115" s="6"/>
      <c r="R115" s="6"/>
      <c r="S115" s="6"/>
    </row>
  </sheetData>
  <autoFilter ref="A1:S1"/>
  <conditionalFormatting sqref="M2:M2000">
    <cfRule type="cellIs" dxfId="4" priority="1" operator="equal">
      <formula>"Pass"</formula>
    </cfRule>
    <cfRule type="cellIs" dxfId="5" priority="2" operator="equal">
      <formula>"Fail"</formula>
    </cfRule>
    <cfRule type="cellIs" dxfId="6" priority="3" operator="equal">
      <formula>"Blocked"</formula>
    </cfRule>
    <cfRule type="cellIs" dxfId="7" priority="4" operator="equal">
      <formula>"N/A"</formula>
    </cfRule>
  </conditionalFormatting>
  <dataValidations count="6">
    <dataValidation type="list" allowBlank="1" showErrorMessage="1" errorStyle="stop" errorTitle="Round" error="Choose one of: Round 1 (before the SAO opens a semester), Round 2 (after the SAO activates a semester), Any time" sqref="G10:G115">
      <formula1>"Round 1 (before the SAO opens a semester),Round 2 (after the SAO activates a semester),Any time"</formula1>
    </dataValidation>
    <dataValidation type="list" allowBlank="1" showErrorMessage="1" errorStyle="stop" errorTitle="Round" error="Choose one of: Round 1 (before the SAO opens a semester), Round 2 (after the SAO activates a semester), Any time" sqref="G2:G115">
      <formula1>"Round 1 (before the SAO opens a semester),Round 2 (after the SAO activates a semester),Any time"</formula1>
    </dataValidation>
    <dataValidation type="list" showErrorMessage="1" errorStyle="stop" errorTitle="Status" error="Choose one of: Not run, Pass, Fail, Blocked, N/A" sqref="M10:M115">
      <formula1>"Not run,Pass,Fail,Blocked,N/A"</formula1>
    </dataValidation>
    <dataValidation type="list" showErrorMessage="1" errorStyle="stop" errorTitle="Status" error="Choose one of: Not run, Pass, Fail, Blocked, N/A" sqref="M2:M115">
      <formula1>"Not run,Pass,Fail,Blocked,N/A"</formula1>
    </dataValidation>
    <dataValidation type="list" allowBlank="1" showErrorMessage="1" errorStyle="stop" errorTitle="Severity" error="Choose one of: Critical, Major, Minor, Cosmetic" sqref="N10:N115">
      <formula1>"Critical,Major,Minor,Cosmetic"</formula1>
    </dataValidation>
    <dataValidation type="list" allowBlank="1" showErrorMessage="1" errorStyle="stop" errorTitle="Severity" error="Choose one of: Critical, Major, Minor, Cosmetic" sqref="N2:N115">
      <formula1>"Critical,Major,Minor,Cosmetic"</formula1>
    </dataValidation>
  </dataValidations>
  <pageSetup paperSize="9"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93"/>
  <sheetViews>
    <sheetView workbookViewId="0">
      <pane xSplit="3" ySplit="1" topLeftCell="D2" activePane="bottomRight" state="frozen"/>
      <selection pane="bottomRight"/>
    </sheetView>
  </sheetViews>
  <sheetFormatPr defaultRowHeight="15" outlineLevelRow="0" outlineLevelCol="0" x14ac:dyDescent="55"/>
  <cols>
    <col min="1" max="1" width="12" customWidth="1"/>
    <col min="2" max="2" width="20" customWidth="1"/>
    <col min="3" max="3" width="38" customWidth="1"/>
    <col min="4" max="4" width="13" customWidth="1"/>
    <col min="5" max="5" width="10" customWidth="1"/>
    <col min="6" max="6" width="12" customWidth="1"/>
    <col min="7" max="7" width="24" customWidth="1"/>
    <col min="8" max="8" width="16" customWidth="1"/>
    <col min="9" max="9" width="34" customWidth="1"/>
    <col min="10" max="10" width="52" customWidth="1"/>
    <col min="11" max="11" width="40" customWidth="1"/>
    <col min="12" max="12" width="36" customWidth="1"/>
    <col min="13" max="14" width="12" customWidth="1"/>
    <col min="15" max="15" width="18" customWidth="1"/>
    <col min="16" max="16" width="13" customWidth="1"/>
    <col min="17" max="17" width="24" customWidth="1"/>
    <col min="18" max="18" width="44" customWidth="1"/>
    <col min="19" max="19" width="30" customWidth="1"/>
  </cols>
  <sheetData>
    <row r="1" ht="30" customHeight="1" spans="1:19" x14ac:dyDescent="0.25">
      <c r="A1" s="13" t="s">
        <v>82</v>
      </c>
      <c r="B1" s="13" t="s">
        <v>83</v>
      </c>
      <c r="C1" s="13" t="s">
        <v>84</v>
      </c>
      <c r="D1" s="13" t="s">
        <v>85</v>
      </c>
      <c r="E1" s="13" t="s">
        <v>86</v>
      </c>
      <c r="F1" s="13" t="s">
        <v>87</v>
      </c>
      <c r="G1" s="13" t="s">
        <v>77</v>
      </c>
      <c r="H1" s="13" t="s">
        <v>88</v>
      </c>
      <c r="I1" s="13" t="s">
        <v>89</v>
      </c>
      <c r="J1" s="13" t="s">
        <v>90</v>
      </c>
      <c r="K1" s="13" t="s">
        <v>91</v>
      </c>
      <c r="L1" s="13" t="s">
        <v>92</v>
      </c>
      <c r="M1" s="5" t="s">
        <v>93</v>
      </c>
      <c r="N1" s="5" t="s">
        <v>94</v>
      </c>
      <c r="O1" s="5" t="s">
        <v>95</v>
      </c>
      <c r="P1" s="5" t="s">
        <v>96</v>
      </c>
      <c r="Q1" s="5" t="s">
        <v>97</v>
      </c>
      <c r="R1" s="5" t="s">
        <v>98</v>
      </c>
      <c r="S1" s="5" t="s">
        <v>99</v>
      </c>
    </row>
    <row r="2" spans="1:19" x14ac:dyDescent="0.25">
      <c r="A2" s="22" t="s">
        <v>674</v>
      </c>
      <c r="B2" s="6" t="s">
        <v>675</v>
      </c>
      <c r="C2" s="6" t="s">
        <v>676</v>
      </c>
      <c r="D2" s="6" t="s">
        <v>103</v>
      </c>
      <c r="E2" s="6" t="s">
        <v>104</v>
      </c>
      <c r="F2" s="6" t="s">
        <v>105</v>
      </c>
      <c r="G2" s="6" t="s">
        <v>80</v>
      </c>
      <c r="H2" s="6"/>
      <c r="I2" s="6" t="s">
        <v>677</v>
      </c>
      <c r="J2" s="6" t="s">
        <v>678</v>
      </c>
      <c r="K2" s="6" t="s">
        <v>679</v>
      </c>
      <c r="L2" s="23"/>
      <c r="M2" s="6" t="s">
        <v>33</v>
      </c>
      <c r="N2" s="6"/>
      <c r="O2" s="6"/>
      <c r="P2" s="24"/>
      <c r="Q2" s="6"/>
      <c r="R2" s="6"/>
      <c r="S2" s="6"/>
    </row>
    <row r="3" spans="1:19" x14ac:dyDescent="0.25">
      <c r="A3" s="22" t="s">
        <v>680</v>
      </c>
      <c r="B3" s="6" t="s">
        <v>675</v>
      </c>
      <c r="C3" s="6" t="s">
        <v>681</v>
      </c>
      <c r="D3" s="6" t="s">
        <v>112</v>
      </c>
      <c r="E3" s="6" t="s">
        <v>104</v>
      </c>
      <c r="F3" s="6" t="s">
        <v>105</v>
      </c>
      <c r="G3" s="6" t="s">
        <v>80</v>
      </c>
      <c r="H3" s="6"/>
      <c r="I3" s="6" t="s">
        <v>682</v>
      </c>
      <c r="J3" s="6" t="s">
        <v>683</v>
      </c>
      <c r="K3" s="6" t="s">
        <v>684</v>
      </c>
      <c r="L3" s="23"/>
      <c r="M3" s="6" t="s">
        <v>33</v>
      </c>
      <c r="N3" s="6"/>
      <c r="O3" s="6"/>
      <c r="P3" s="24"/>
      <c r="Q3" s="6"/>
      <c r="R3" s="6"/>
      <c r="S3" s="6"/>
    </row>
    <row r="4" spans="1:19" x14ac:dyDescent="0.25">
      <c r="A4" s="22" t="s">
        <v>685</v>
      </c>
      <c r="B4" s="6" t="s">
        <v>686</v>
      </c>
      <c r="C4" s="6" t="s">
        <v>687</v>
      </c>
      <c r="D4" s="6" t="s">
        <v>140</v>
      </c>
      <c r="E4" s="6" t="s">
        <v>104</v>
      </c>
      <c r="F4" s="6" t="s">
        <v>105</v>
      </c>
      <c r="G4" s="6" t="s">
        <v>80</v>
      </c>
      <c r="H4" s="6"/>
      <c r="I4" s="6" t="s">
        <v>688</v>
      </c>
      <c r="J4" s="6" t="s">
        <v>689</v>
      </c>
      <c r="K4" s="6" t="s">
        <v>690</v>
      </c>
      <c r="L4" s="23"/>
      <c r="M4" s="6" t="s">
        <v>33</v>
      </c>
      <c r="N4" s="6"/>
      <c r="O4" s="6"/>
      <c r="P4" s="24"/>
      <c r="Q4" s="6"/>
      <c r="R4" s="6"/>
      <c r="S4" s="6"/>
    </row>
    <row r="5" spans="1:19" x14ac:dyDescent="0.25">
      <c r="A5" s="22" t="s">
        <v>691</v>
      </c>
      <c r="B5" s="6" t="s">
        <v>686</v>
      </c>
      <c r="C5" s="6" t="s">
        <v>692</v>
      </c>
      <c r="D5" s="6" t="s">
        <v>120</v>
      </c>
      <c r="E5" s="6" t="s">
        <v>113</v>
      </c>
      <c r="F5" s="6" t="s">
        <v>127</v>
      </c>
      <c r="G5" s="6" t="s">
        <v>80</v>
      </c>
      <c r="H5" s="6"/>
      <c r="I5" s="6" t="s">
        <v>693</v>
      </c>
      <c r="J5" s="6" t="s">
        <v>694</v>
      </c>
      <c r="K5" s="6" t="s">
        <v>695</v>
      </c>
      <c r="L5" s="23"/>
      <c r="M5" s="6" t="s">
        <v>33</v>
      </c>
      <c r="N5" s="6"/>
      <c r="O5" s="6"/>
      <c r="P5" s="24"/>
      <c r="Q5" s="6"/>
      <c r="R5" s="6"/>
      <c r="S5" s="6"/>
    </row>
    <row r="6" spans="1:19" x14ac:dyDescent="0.25">
      <c r="A6" s="22" t="s">
        <v>696</v>
      </c>
      <c r="B6" s="6" t="s">
        <v>697</v>
      </c>
      <c r="C6" s="6" t="s">
        <v>698</v>
      </c>
      <c r="D6" s="6" t="s">
        <v>120</v>
      </c>
      <c r="E6" s="6" t="s">
        <v>113</v>
      </c>
      <c r="F6" s="6" t="s">
        <v>105</v>
      </c>
      <c r="G6" s="6" t="s">
        <v>80</v>
      </c>
      <c r="H6" s="6"/>
      <c r="I6" s="6" t="s">
        <v>688</v>
      </c>
      <c r="J6" s="6" t="s">
        <v>699</v>
      </c>
      <c r="K6" s="6" t="s">
        <v>700</v>
      </c>
      <c r="L6" s="23" t="s">
        <v>701</v>
      </c>
      <c r="M6" s="6" t="s">
        <v>33</v>
      </c>
      <c r="N6" s="6"/>
      <c r="O6" s="6"/>
      <c r="P6" s="24"/>
      <c r="Q6" s="6"/>
      <c r="R6" s="6"/>
      <c r="S6" s="6"/>
    </row>
    <row r="7" spans="1:19" x14ac:dyDescent="0.25">
      <c r="A7" s="22" t="s">
        <v>702</v>
      </c>
      <c r="B7" s="6" t="s">
        <v>697</v>
      </c>
      <c r="C7" s="6" t="s">
        <v>703</v>
      </c>
      <c r="D7" s="6" t="s">
        <v>103</v>
      </c>
      <c r="E7" s="6" t="s">
        <v>113</v>
      </c>
      <c r="F7" s="6" t="s">
        <v>105</v>
      </c>
      <c r="G7" s="6" t="s">
        <v>80</v>
      </c>
      <c r="H7" s="6"/>
      <c r="I7" s="6" t="s">
        <v>688</v>
      </c>
      <c r="J7" s="6" t="s">
        <v>704</v>
      </c>
      <c r="K7" s="6" t="s">
        <v>705</v>
      </c>
      <c r="L7" s="23" t="s">
        <v>706</v>
      </c>
      <c r="M7" s="6" t="s">
        <v>33</v>
      </c>
      <c r="N7" s="6"/>
      <c r="O7" s="6"/>
      <c r="P7" s="24"/>
      <c r="Q7" s="6"/>
      <c r="R7" s="6"/>
      <c r="S7" s="6"/>
    </row>
    <row r="8" spans="1:19" x14ac:dyDescent="0.25">
      <c r="A8" s="22" t="s">
        <v>707</v>
      </c>
      <c r="B8" s="6" t="s">
        <v>164</v>
      </c>
      <c r="C8" s="6" t="s">
        <v>708</v>
      </c>
      <c r="D8" s="6" t="s">
        <v>103</v>
      </c>
      <c r="E8" s="6" t="s">
        <v>104</v>
      </c>
      <c r="F8" s="6" t="s">
        <v>105</v>
      </c>
      <c r="G8" s="6" t="s">
        <v>80</v>
      </c>
      <c r="H8" s="6"/>
      <c r="I8" s="6" t="s">
        <v>688</v>
      </c>
      <c r="J8" s="6" t="s">
        <v>709</v>
      </c>
      <c r="K8" s="6" t="s">
        <v>710</v>
      </c>
      <c r="L8" s="23"/>
      <c r="M8" s="6" t="s">
        <v>33</v>
      </c>
      <c r="N8" s="6"/>
      <c r="O8" s="6"/>
      <c r="P8" s="24"/>
      <c r="Q8" s="6"/>
      <c r="R8" s="6"/>
      <c r="S8" s="6"/>
    </row>
    <row r="9" spans="1:19" x14ac:dyDescent="0.25">
      <c r="A9" s="22" t="s">
        <v>711</v>
      </c>
      <c r="B9" s="6" t="s">
        <v>164</v>
      </c>
      <c r="C9" s="6" t="s">
        <v>712</v>
      </c>
      <c r="D9" s="6" t="s">
        <v>103</v>
      </c>
      <c r="E9" s="6" t="s">
        <v>104</v>
      </c>
      <c r="F9" s="6" t="s">
        <v>105</v>
      </c>
      <c r="G9" s="6" t="s">
        <v>80</v>
      </c>
      <c r="H9" s="6"/>
      <c r="I9" s="6" t="s">
        <v>713</v>
      </c>
      <c r="J9" s="6" t="s">
        <v>714</v>
      </c>
      <c r="K9" s="6" t="s">
        <v>715</v>
      </c>
      <c r="L9" s="23"/>
      <c r="M9" s="6" t="s">
        <v>33</v>
      </c>
      <c r="N9" s="6"/>
      <c r="O9" s="6"/>
      <c r="P9" s="24"/>
      <c r="Q9" s="6"/>
      <c r="R9" s="6"/>
      <c r="S9" s="6"/>
    </row>
    <row r="10" spans="1:19" x14ac:dyDescent="0.25">
      <c r="A10" s="22" t="s">
        <v>716</v>
      </c>
      <c r="B10" s="6" t="s">
        <v>164</v>
      </c>
      <c r="C10" s="6" t="s">
        <v>717</v>
      </c>
      <c r="D10" s="6" t="s">
        <v>103</v>
      </c>
      <c r="E10" s="6" t="s">
        <v>104</v>
      </c>
      <c r="F10" s="6" t="s">
        <v>105</v>
      </c>
      <c r="G10" s="6" t="s">
        <v>80</v>
      </c>
      <c r="H10" s="6"/>
      <c r="I10" s="6" t="s">
        <v>718</v>
      </c>
      <c r="J10" s="6" t="s">
        <v>719</v>
      </c>
      <c r="K10" s="6" t="s">
        <v>720</v>
      </c>
      <c r="L10" s="23"/>
      <c r="M10" s="6" t="s">
        <v>33</v>
      </c>
      <c r="N10" s="6"/>
      <c r="O10" s="6"/>
      <c r="P10" s="24"/>
      <c r="Q10" s="6"/>
      <c r="R10" s="6"/>
      <c r="S10" s="6"/>
    </row>
    <row r="11" spans="1:19" x14ac:dyDescent="0.25">
      <c r="A11" s="22" t="s">
        <v>721</v>
      </c>
      <c r="B11" s="6" t="s">
        <v>164</v>
      </c>
      <c r="C11" s="6" t="s">
        <v>722</v>
      </c>
      <c r="D11" s="6" t="s">
        <v>103</v>
      </c>
      <c r="E11" s="6" t="s">
        <v>113</v>
      </c>
      <c r="F11" s="6" t="s">
        <v>105</v>
      </c>
      <c r="G11" s="6" t="s">
        <v>80</v>
      </c>
      <c r="H11" s="6"/>
      <c r="I11" s="6" t="s">
        <v>688</v>
      </c>
      <c r="J11" s="6" t="s">
        <v>723</v>
      </c>
      <c r="K11" s="6" t="s">
        <v>724</v>
      </c>
      <c r="L11" s="23"/>
      <c r="M11" s="6" t="s">
        <v>33</v>
      </c>
      <c r="N11" s="6"/>
      <c r="O11" s="6"/>
      <c r="P11" s="24"/>
      <c r="Q11" s="6"/>
      <c r="R11" s="6"/>
      <c r="S11" s="6"/>
    </row>
    <row r="12" spans="1:19" x14ac:dyDescent="0.25">
      <c r="A12" s="22" t="s">
        <v>725</v>
      </c>
      <c r="B12" s="6" t="s">
        <v>164</v>
      </c>
      <c r="C12" s="6" t="s">
        <v>726</v>
      </c>
      <c r="D12" s="6" t="s">
        <v>103</v>
      </c>
      <c r="E12" s="6" t="s">
        <v>113</v>
      </c>
      <c r="F12" s="6" t="s">
        <v>105</v>
      </c>
      <c r="G12" s="6" t="s">
        <v>80</v>
      </c>
      <c r="H12" s="6"/>
      <c r="I12" s="6" t="s">
        <v>718</v>
      </c>
      <c r="J12" s="6" t="s">
        <v>727</v>
      </c>
      <c r="K12" s="6" t="s">
        <v>728</v>
      </c>
      <c r="L12" s="23"/>
      <c r="M12" s="6" t="s">
        <v>33</v>
      </c>
      <c r="N12" s="6"/>
      <c r="O12" s="6"/>
      <c r="P12" s="24"/>
      <c r="Q12" s="6"/>
      <c r="R12" s="6"/>
      <c r="S12" s="6"/>
    </row>
    <row r="13" spans="1:19" x14ac:dyDescent="0.25">
      <c r="A13" s="22" t="s">
        <v>729</v>
      </c>
      <c r="B13" s="6" t="s">
        <v>164</v>
      </c>
      <c r="C13" s="6" t="s">
        <v>730</v>
      </c>
      <c r="D13" s="6" t="s">
        <v>103</v>
      </c>
      <c r="E13" s="6" t="s">
        <v>113</v>
      </c>
      <c r="F13" s="6" t="s">
        <v>105</v>
      </c>
      <c r="G13" s="6" t="s">
        <v>80</v>
      </c>
      <c r="H13" s="6"/>
      <c r="I13" s="6" t="s">
        <v>731</v>
      </c>
      <c r="J13" s="6" t="s">
        <v>732</v>
      </c>
      <c r="K13" s="6" t="s">
        <v>733</v>
      </c>
      <c r="L13" s="23" t="s">
        <v>734</v>
      </c>
      <c r="M13" s="6" t="s">
        <v>33</v>
      </c>
      <c r="N13" s="6"/>
      <c r="O13" s="6"/>
      <c r="P13" s="24"/>
      <c r="Q13" s="6"/>
      <c r="R13" s="6"/>
      <c r="S13" s="6"/>
    </row>
    <row r="14" spans="1:19" x14ac:dyDescent="0.25">
      <c r="A14" s="22" t="s">
        <v>735</v>
      </c>
      <c r="B14" s="6" t="s">
        <v>164</v>
      </c>
      <c r="C14" s="6" t="s">
        <v>736</v>
      </c>
      <c r="D14" s="6" t="s">
        <v>103</v>
      </c>
      <c r="E14" s="6" t="s">
        <v>104</v>
      </c>
      <c r="F14" s="6" t="s">
        <v>105</v>
      </c>
      <c r="G14" s="6" t="s">
        <v>80</v>
      </c>
      <c r="H14" s="6"/>
      <c r="I14" s="6" t="s">
        <v>737</v>
      </c>
      <c r="J14" s="6" t="s">
        <v>738</v>
      </c>
      <c r="K14" s="6" t="s">
        <v>739</v>
      </c>
      <c r="L14" s="23"/>
      <c r="M14" s="6" t="s">
        <v>33</v>
      </c>
      <c r="N14" s="6"/>
      <c r="O14" s="6"/>
      <c r="P14" s="24"/>
      <c r="Q14" s="6"/>
      <c r="R14" s="6"/>
      <c r="S14" s="6"/>
    </row>
    <row r="15" spans="1:19" x14ac:dyDescent="0.25">
      <c r="A15" s="22" t="s">
        <v>740</v>
      </c>
      <c r="B15" s="6" t="s">
        <v>164</v>
      </c>
      <c r="C15" s="6" t="s">
        <v>741</v>
      </c>
      <c r="D15" s="6" t="s">
        <v>120</v>
      </c>
      <c r="E15" s="6" t="s">
        <v>113</v>
      </c>
      <c r="F15" s="6" t="s">
        <v>127</v>
      </c>
      <c r="G15" s="6" t="s">
        <v>80</v>
      </c>
      <c r="H15" s="6"/>
      <c r="I15" s="6" t="s">
        <v>742</v>
      </c>
      <c r="J15" s="6" t="s">
        <v>743</v>
      </c>
      <c r="K15" s="6" t="s">
        <v>744</v>
      </c>
      <c r="L15" s="23"/>
      <c r="M15" s="6" t="s">
        <v>33</v>
      </c>
      <c r="N15" s="6"/>
      <c r="O15" s="6"/>
      <c r="P15" s="24"/>
      <c r="Q15" s="6"/>
      <c r="R15" s="6"/>
      <c r="S15" s="6"/>
    </row>
    <row r="16" spans="1:19" x14ac:dyDescent="0.25">
      <c r="A16" s="22" t="s">
        <v>745</v>
      </c>
      <c r="B16" s="6" t="s">
        <v>746</v>
      </c>
      <c r="C16" s="6" t="s">
        <v>747</v>
      </c>
      <c r="D16" s="6" t="s">
        <v>103</v>
      </c>
      <c r="E16" s="6" t="s">
        <v>104</v>
      </c>
      <c r="F16" s="6" t="s">
        <v>105</v>
      </c>
      <c r="G16" s="6" t="s">
        <v>80</v>
      </c>
      <c r="H16" s="6"/>
      <c r="I16" s="6" t="s">
        <v>688</v>
      </c>
      <c r="J16" s="6" t="s">
        <v>748</v>
      </c>
      <c r="K16" s="6" t="s">
        <v>749</v>
      </c>
      <c r="L16" s="23"/>
      <c r="M16" s="6" t="s">
        <v>33</v>
      </c>
      <c r="N16" s="6"/>
      <c r="O16" s="6"/>
      <c r="P16" s="24"/>
      <c r="Q16" s="6"/>
      <c r="R16" s="6"/>
      <c r="S16" s="6"/>
    </row>
    <row r="17" spans="1:19" x14ac:dyDescent="0.25">
      <c r="A17" s="22" t="s">
        <v>750</v>
      </c>
      <c r="B17" s="6" t="s">
        <v>746</v>
      </c>
      <c r="C17" s="6" t="s">
        <v>751</v>
      </c>
      <c r="D17" s="6" t="s">
        <v>103</v>
      </c>
      <c r="E17" s="6" t="s">
        <v>113</v>
      </c>
      <c r="F17" s="6" t="s">
        <v>105</v>
      </c>
      <c r="G17" s="6" t="s">
        <v>80</v>
      </c>
      <c r="H17" s="6"/>
      <c r="I17" s="6" t="s">
        <v>752</v>
      </c>
      <c r="J17" s="6" t="s">
        <v>753</v>
      </c>
      <c r="K17" s="6" t="s">
        <v>754</v>
      </c>
      <c r="L17" s="23"/>
      <c r="M17" s="6" t="s">
        <v>33</v>
      </c>
      <c r="N17" s="6"/>
      <c r="O17" s="6"/>
      <c r="P17" s="24"/>
      <c r="Q17" s="6"/>
      <c r="R17" s="6"/>
      <c r="S17" s="6"/>
    </row>
    <row r="18" spans="1:19" x14ac:dyDescent="0.25">
      <c r="A18" s="22" t="s">
        <v>755</v>
      </c>
      <c r="B18" s="6" t="s">
        <v>746</v>
      </c>
      <c r="C18" s="6" t="s">
        <v>756</v>
      </c>
      <c r="D18" s="6" t="s">
        <v>120</v>
      </c>
      <c r="E18" s="6" t="s">
        <v>113</v>
      </c>
      <c r="F18" s="6" t="s">
        <v>105</v>
      </c>
      <c r="G18" s="6" t="s">
        <v>80</v>
      </c>
      <c r="H18" s="6"/>
      <c r="I18" s="6" t="s">
        <v>757</v>
      </c>
      <c r="J18" s="6" t="s">
        <v>758</v>
      </c>
      <c r="K18" s="6" t="s">
        <v>759</v>
      </c>
      <c r="L18" s="23"/>
      <c r="M18" s="6" t="s">
        <v>33</v>
      </c>
      <c r="N18" s="6"/>
      <c r="O18" s="6"/>
      <c r="P18" s="24"/>
      <c r="Q18" s="6"/>
      <c r="R18" s="6"/>
      <c r="S18" s="6"/>
    </row>
    <row r="19" spans="1:19" x14ac:dyDescent="0.25">
      <c r="A19" s="22" t="s">
        <v>760</v>
      </c>
      <c r="B19" s="6" t="s">
        <v>746</v>
      </c>
      <c r="C19" s="6" t="s">
        <v>761</v>
      </c>
      <c r="D19" s="6" t="s">
        <v>103</v>
      </c>
      <c r="E19" s="6" t="s">
        <v>113</v>
      </c>
      <c r="F19" s="6" t="s">
        <v>105</v>
      </c>
      <c r="G19" s="6" t="s">
        <v>80</v>
      </c>
      <c r="H19" s="6"/>
      <c r="I19" s="6" t="s">
        <v>762</v>
      </c>
      <c r="J19" s="6" t="s">
        <v>763</v>
      </c>
      <c r="K19" s="6" t="s">
        <v>764</v>
      </c>
      <c r="L19" s="23"/>
      <c r="M19" s="6" t="s">
        <v>33</v>
      </c>
      <c r="N19" s="6"/>
      <c r="O19" s="6"/>
      <c r="P19" s="24"/>
      <c r="Q19" s="6"/>
      <c r="R19" s="6"/>
      <c r="S19" s="6"/>
    </row>
    <row r="20" spans="1:19" x14ac:dyDescent="0.25">
      <c r="A20" s="22" t="s">
        <v>765</v>
      </c>
      <c r="B20" s="6" t="s">
        <v>746</v>
      </c>
      <c r="C20" s="6" t="s">
        <v>766</v>
      </c>
      <c r="D20" s="6" t="s">
        <v>103</v>
      </c>
      <c r="E20" s="6" t="s">
        <v>104</v>
      </c>
      <c r="F20" s="6" t="s">
        <v>105</v>
      </c>
      <c r="G20" s="6" t="s">
        <v>80</v>
      </c>
      <c r="H20" s="6"/>
      <c r="I20" s="6" t="s">
        <v>767</v>
      </c>
      <c r="J20" s="6" t="s">
        <v>768</v>
      </c>
      <c r="K20" s="6" t="s">
        <v>769</v>
      </c>
      <c r="L20" s="23"/>
      <c r="M20" s="6" t="s">
        <v>33</v>
      </c>
      <c r="N20" s="6"/>
      <c r="O20" s="6"/>
      <c r="P20" s="24"/>
      <c r="Q20" s="6"/>
      <c r="R20" s="6"/>
      <c r="S20" s="6"/>
    </row>
    <row r="21" spans="1:19" x14ac:dyDescent="0.25">
      <c r="A21" s="22" t="s">
        <v>770</v>
      </c>
      <c r="B21" s="6" t="s">
        <v>746</v>
      </c>
      <c r="C21" s="6" t="s">
        <v>771</v>
      </c>
      <c r="D21" s="6" t="s">
        <v>112</v>
      </c>
      <c r="E21" s="6" t="s">
        <v>104</v>
      </c>
      <c r="F21" s="6" t="s">
        <v>105</v>
      </c>
      <c r="G21" s="6" t="s">
        <v>80</v>
      </c>
      <c r="H21" s="6"/>
      <c r="I21" s="6" t="s">
        <v>731</v>
      </c>
      <c r="J21" s="6" t="s">
        <v>772</v>
      </c>
      <c r="K21" s="6" t="s">
        <v>773</v>
      </c>
      <c r="L21" s="23"/>
      <c r="M21" s="6" t="s">
        <v>33</v>
      </c>
      <c r="N21" s="6"/>
      <c r="O21" s="6"/>
      <c r="P21" s="24"/>
      <c r="Q21" s="6"/>
      <c r="R21" s="6"/>
      <c r="S21" s="6"/>
    </row>
    <row r="22" spans="1:19" x14ac:dyDescent="0.25">
      <c r="A22" s="22" t="s">
        <v>774</v>
      </c>
      <c r="B22" s="6" t="s">
        <v>746</v>
      </c>
      <c r="C22" s="6" t="s">
        <v>775</v>
      </c>
      <c r="D22" s="6" t="s">
        <v>103</v>
      </c>
      <c r="E22" s="6" t="s">
        <v>104</v>
      </c>
      <c r="F22" s="6" t="s">
        <v>105</v>
      </c>
      <c r="G22" s="6" t="s">
        <v>80</v>
      </c>
      <c r="H22" s="6"/>
      <c r="I22" s="6" t="s">
        <v>776</v>
      </c>
      <c r="J22" s="6" t="s">
        <v>777</v>
      </c>
      <c r="K22" s="6" t="s">
        <v>778</v>
      </c>
      <c r="L22" s="23"/>
      <c r="M22" s="6" t="s">
        <v>33</v>
      </c>
      <c r="N22" s="6"/>
      <c r="O22" s="6"/>
      <c r="P22" s="24"/>
      <c r="Q22" s="6"/>
      <c r="R22" s="6"/>
      <c r="S22" s="6"/>
    </row>
    <row r="23" spans="1:19" x14ac:dyDescent="0.25">
      <c r="A23" s="22" t="s">
        <v>779</v>
      </c>
      <c r="B23" s="6" t="s">
        <v>746</v>
      </c>
      <c r="C23" s="6" t="s">
        <v>780</v>
      </c>
      <c r="D23" s="6" t="s">
        <v>209</v>
      </c>
      <c r="E23" s="6" t="s">
        <v>104</v>
      </c>
      <c r="F23" s="6" t="s">
        <v>105</v>
      </c>
      <c r="G23" s="6" t="s">
        <v>80</v>
      </c>
      <c r="H23" s="6"/>
      <c r="I23" s="6" t="s">
        <v>767</v>
      </c>
      <c r="J23" s="6" t="s">
        <v>781</v>
      </c>
      <c r="K23" s="6" t="s">
        <v>782</v>
      </c>
      <c r="L23" s="23"/>
      <c r="M23" s="6" t="s">
        <v>33</v>
      </c>
      <c r="N23" s="6"/>
      <c r="O23" s="6"/>
      <c r="P23" s="24"/>
      <c r="Q23" s="6"/>
      <c r="R23" s="6"/>
      <c r="S23" s="6"/>
    </row>
    <row r="24" spans="1:19" x14ac:dyDescent="0.25">
      <c r="A24" s="22" t="s">
        <v>783</v>
      </c>
      <c r="B24" s="6" t="s">
        <v>746</v>
      </c>
      <c r="C24" s="6" t="s">
        <v>784</v>
      </c>
      <c r="D24" s="6" t="s">
        <v>209</v>
      </c>
      <c r="E24" s="6" t="s">
        <v>113</v>
      </c>
      <c r="F24" s="6" t="s">
        <v>105</v>
      </c>
      <c r="G24" s="6" t="s">
        <v>80</v>
      </c>
      <c r="H24" s="6"/>
      <c r="I24" s="6" t="s">
        <v>767</v>
      </c>
      <c r="J24" s="6" t="s">
        <v>785</v>
      </c>
      <c r="K24" s="6" t="s">
        <v>786</v>
      </c>
      <c r="L24" s="23"/>
      <c r="M24" s="6" t="s">
        <v>33</v>
      </c>
      <c r="N24" s="6"/>
      <c r="O24" s="6"/>
      <c r="P24" s="24"/>
      <c r="Q24" s="6"/>
      <c r="R24" s="6"/>
      <c r="S24" s="6"/>
    </row>
    <row r="25" spans="1:19" x14ac:dyDescent="0.25">
      <c r="A25" s="22" t="s">
        <v>787</v>
      </c>
      <c r="B25" s="6" t="s">
        <v>746</v>
      </c>
      <c r="C25" s="6" t="s">
        <v>788</v>
      </c>
      <c r="D25" s="6" t="s">
        <v>209</v>
      </c>
      <c r="E25" s="6" t="s">
        <v>104</v>
      </c>
      <c r="F25" s="6" t="s">
        <v>105</v>
      </c>
      <c r="G25" s="6" t="s">
        <v>80</v>
      </c>
      <c r="H25" s="6"/>
      <c r="I25" s="6" t="s">
        <v>789</v>
      </c>
      <c r="J25" s="6" t="s">
        <v>790</v>
      </c>
      <c r="K25" s="6" t="s">
        <v>791</v>
      </c>
      <c r="L25" s="23"/>
      <c r="M25" s="6" t="s">
        <v>33</v>
      </c>
      <c r="N25" s="6"/>
      <c r="O25" s="6"/>
      <c r="P25" s="24"/>
      <c r="Q25" s="6"/>
      <c r="R25" s="6"/>
      <c r="S25" s="6"/>
    </row>
    <row r="26" spans="1:19" x14ac:dyDescent="0.25">
      <c r="A26" s="22" t="s">
        <v>792</v>
      </c>
      <c r="B26" s="6" t="s">
        <v>746</v>
      </c>
      <c r="C26" s="6" t="s">
        <v>793</v>
      </c>
      <c r="D26" s="6" t="s">
        <v>209</v>
      </c>
      <c r="E26" s="6" t="s">
        <v>113</v>
      </c>
      <c r="F26" s="6" t="s">
        <v>105</v>
      </c>
      <c r="G26" s="6" t="s">
        <v>80</v>
      </c>
      <c r="H26" s="6"/>
      <c r="I26" s="6" t="s">
        <v>794</v>
      </c>
      <c r="J26" s="6" t="s">
        <v>795</v>
      </c>
      <c r="K26" s="6" t="s">
        <v>796</v>
      </c>
      <c r="L26" s="23"/>
      <c r="M26" s="6" t="s">
        <v>33</v>
      </c>
      <c r="N26" s="6"/>
      <c r="O26" s="6"/>
      <c r="P26" s="24"/>
      <c r="Q26" s="6"/>
      <c r="R26" s="6"/>
      <c r="S26" s="6"/>
    </row>
    <row r="27" spans="1:19" x14ac:dyDescent="0.25">
      <c r="A27" s="22" t="s">
        <v>797</v>
      </c>
      <c r="B27" s="6" t="s">
        <v>746</v>
      </c>
      <c r="C27" s="6" t="s">
        <v>798</v>
      </c>
      <c r="D27" s="6" t="s">
        <v>209</v>
      </c>
      <c r="E27" s="6" t="s">
        <v>145</v>
      </c>
      <c r="F27" s="6" t="s">
        <v>105</v>
      </c>
      <c r="G27" s="6" t="s">
        <v>80</v>
      </c>
      <c r="H27" s="6"/>
      <c r="I27" s="6" t="s">
        <v>767</v>
      </c>
      <c r="J27" s="6" t="s">
        <v>799</v>
      </c>
      <c r="K27" s="6" t="s">
        <v>800</v>
      </c>
      <c r="L27" s="23"/>
      <c r="M27" s="6" t="s">
        <v>33</v>
      </c>
      <c r="N27" s="6"/>
      <c r="O27" s="6"/>
      <c r="P27" s="24"/>
      <c r="Q27" s="6"/>
      <c r="R27" s="6"/>
      <c r="S27" s="6"/>
    </row>
    <row r="28" spans="1:19" x14ac:dyDescent="0.25">
      <c r="A28" s="22" t="s">
        <v>801</v>
      </c>
      <c r="B28" s="6" t="s">
        <v>746</v>
      </c>
      <c r="C28" s="6" t="s">
        <v>802</v>
      </c>
      <c r="D28" s="6" t="s">
        <v>209</v>
      </c>
      <c r="E28" s="6" t="s">
        <v>113</v>
      </c>
      <c r="F28" s="6" t="s">
        <v>105</v>
      </c>
      <c r="G28" s="6" t="s">
        <v>80</v>
      </c>
      <c r="H28" s="6"/>
      <c r="I28" s="6" t="s">
        <v>803</v>
      </c>
      <c r="J28" s="6" t="s">
        <v>804</v>
      </c>
      <c r="K28" s="6" t="s">
        <v>805</v>
      </c>
      <c r="L28" s="23" t="s">
        <v>806</v>
      </c>
      <c r="M28" s="6" t="s">
        <v>33</v>
      </c>
      <c r="N28" s="6"/>
      <c r="O28" s="6"/>
      <c r="P28" s="24"/>
      <c r="Q28" s="6"/>
      <c r="R28" s="6"/>
      <c r="S28" s="6"/>
    </row>
    <row r="29" spans="1:19" x14ac:dyDescent="0.25">
      <c r="A29" s="22" t="s">
        <v>807</v>
      </c>
      <c r="B29" s="6" t="s">
        <v>746</v>
      </c>
      <c r="C29" s="6" t="s">
        <v>808</v>
      </c>
      <c r="D29" s="6" t="s">
        <v>103</v>
      </c>
      <c r="E29" s="6" t="s">
        <v>145</v>
      </c>
      <c r="F29" s="6" t="s">
        <v>105</v>
      </c>
      <c r="G29" s="6" t="s">
        <v>80</v>
      </c>
      <c r="H29" s="6"/>
      <c r="I29" s="6" t="s">
        <v>767</v>
      </c>
      <c r="J29" s="6" t="s">
        <v>809</v>
      </c>
      <c r="K29" s="6" t="s">
        <v>810</v>
      </c>
      <c r="L29" s="23"/>
      <c r="M29" s="6" t="s">
        <v>33</v>
      </c>
      <c r="N29" s="6"/>
      <c r="O29" s="6"/>
      <c r="P29" s="24"/>
      <c r="Q29" s="6"/>
      <c r="R29" s="6"/>
      <c r="S29" s="6"/>
    </row>
    <row r="30" spans="1:19" x14ac:dyDescent="0.25">
      <c r="A30" s="22" t="s">
        <v>811</v>
      </c>
      <c r="B30" s="6" t="s">
        <v>746</v>
      </c>
      <c r="C30" s="6" t="s">
        <v>812</v>
      </c>
      <c r="D30" s="6" t="s">
        <v>103</v>
      </c>
      <c r="E30" s="6" t="s">
        <v>104</v>
      </c>
      <c r="F30" s="6" t="s">
        <v>105</v>
      </c>
      <c r="G30" s="6" t="s">
        <v>80</v>
      </c>
      <c r="H30" s="6"/>
      <c r="I30" s="6" t="s">
        <v>813</v>
      </c>
      <c r="J30" s="6" t="s">
        <v>814</v>
      </c>
      <c r="K30" s="6" t="s">
        <v>815</v>
      </c>
      <c r="L30" s="23"/>
      <c r="M30" s="6" t="s">
        <v>33</v>
      </c>
      <c r="N30" s="6"/>
      <c r="O30" s="6"/>
      <c r="P30" s="24"/>
      <c r="Q30" s="6"/>
      <c r="R30" s="6"/>
      <c r="S30" s="6"/>
    </row>
    <row r="31" spans="1:19" x14ac:dyDescent="0.25">
      <c r="A31" s="22" t="s">
        <v>816</v>
      </c>
      <c r="B31" s="6" t="s">
        <v>746</v>
      </c>
      <c r="C31" s="6" t="s">
        <v>817</v>
      </c>
      <c r="D31" s="6" t="s">
        <v>103</v>
      </c>
      <c r="E31" s="6" t="s">
        <v>104</v>
      </c>
      <c r="F31" s="6" t="s">
        <v>105</v>
      </c>
      <c r="G31" s="6" t="s">
        <v>80</v>
      </c>
      <c r="H31" s="6"/>
      <c r="I31" s="6" t="s">
        <v>818</v>
      </c>
      <c r="J31" s="6" t="s">
        <v>819</v>
      </c>
      <c r="K31" s="6" t="s">
        <v>820</v>
      </c>
      <c r="L31" s="23"/>
      <c r="M31" s="6" t="s">
        <v>33</v>
      </c>
      <c r="N31" s="6"/>
      <c r="O31" s="6"/>
      <c r="P31" s="24"/>
      <c r="Q31" s="6"/>
      <c r="R31" s="6"/>
      <c r="S31" s="6"/>
    </row>
    <row r="32" spans="1:19" x14ac:dyDescent="0.25">
      <c r="A32" s="22" t="s">
        <v>821</v>
      </c>
      <c r="B32" s="6" t="s">
        <v>746</v>
      </c>
      <c r="C32" s="6" t="s">
        <v>822</v>
      </c>
      <c r="D32" s="6" t="s">
        <v>103</v>
      </c>
      <c r="E32" s="6" t="s">
        <v>113</v>
      </c>
      <c r="F32" s="6" t="s">
        <v>105</v>
      </c>
      <c r="G32" s="6" t="s">
        <v>80</v>
      </c>
      <c r="H32" s="6"/>
      <c r="I32" s="6" t="s">
        <v>818</v>
      </c>
      <c r="J32" s="6" t="s">
        <v>823</v>
      </c>
      <c r="K32" s="6" t="s">
        <v>824</v>
      </c>
      <c r="L32" s="23"/>
      <c r="M32" s="6" t="s">
        <v>33</v>
      </c>
      <c r="N32" s="6"/>
      <c r="O32" s="6"/>
      <c r="P32" s="24"/>
      <c r="Q32" s="6"/>
      <c r="R32" s="6"/>
      <c r="S32" s="6"/>
    </row>
    <row r="33" spans="1:19" x14ac:dyDescent="0.25">
      <c r="A33" s="22" t="s">
        <v>825</v>
      </c>
      <c r="B33" s="6" t="s">
        <v>746</v>
      </c>
      <c r="C33" s="6" t="s">
        <v>826</v>
      </c>
      <c r="D33" s="6" t="s">
        <v>209</v>
      </c>
      <c r="E33" s="6" t="s">
        <v>113</v>
      </c>
      <c r="F33" s="6" t="s">
        <v>105</v>
      </c>
      <c r="G33" s="6" t="s">
        <v>80</v>
      </c>
      <c r="H33" s="6"/>
      <c r="I33" s="6" t="s">
        <v>818</v>
      </c>
      <c r="J33" s="6" t="s">
        <v>827</v>
      </c>
      <c r="K33" s="6" t="s">
        <v>828</v>
      </c>
      <c r="L33" s="23"/>
      <c r="M33" s="6" t="s">
        <v>33</v>
      </c>
      <c r="N33" s="6"/>
      <c r="O33" s="6"/>
      <c r="P33" s="24"/>
      <c r="Q33" s="6"/>
      <c r="R33" s="6"/>
      <c r="S33" s="6"/>
    </row>
    <row r="34" spans="1:19" x14ac:dyDescent="0.25">
      <c r="A34" s="22" t="s">
        <v>829</v>
      </c>
      <c r="B34" s="6" t="s">
        <v>746</v>
      </c>
      <c r="C34" s="6" t="s">
        <v>830</v>
      </c>
      <c r="D34" s="6" t="s">
        <v>140</v>
      </c>
      <c r="E34" s="6" t="s">
        <v>104</v>
      </c>
      <c r="F34" s="6" t="s">
        <v>105</v>
      </c>
      <c r="G34" s="6" t="s">
        <v>80</v>
      </c>
      <c r="H34" s="6"/>
      <c r="I34" s="6" t="s">
        <v>831</v>
      </c>
      <c r="J34" s="6" t="s">
        <v>832</v>
      </c>
      <c r="K34" s="6" t="s">
        <v>833</v>
      </c>
      <c r="L34" s="23"/>
      <c r="M34" s="6" t="s">
        <v>33</v>
      </c>
      <c r="N34" s="6"/>
      <c r="O34" s="6"/>
      <c r="P34" s="24"/>
      <c r="Q34" s="6"/>
      <c r="R34" s="6"/>
      <c r="S34" s="6"/>
    </row>
    <row r="35" spans="1:19" x14ac:dyDescent="0.25">
      <c r="A35" s="22" t="s">
        <v>834</v>
      </c>
      <c r="B35" s="6" t="s">
        <v>746</v>
      </c>
      <c r="C35" s="6" t="s">
        <v>835</v>
      </c>
      <c r="D35" s="6" t="s">
        <v>103</v>
      </c>
      <c r="E35" s="6" t="s">
        <v>104</v>
      </c>
      <c r="F35" s="6" t="s">
        <v>105</v>
      </c>
      <c r="G35" s="6" t="s">
        <v>80</v>
      </c>
      <c r="H35" s="6"/>
      <c r="I35" s="6" t="s">
        <v>836</v>
      </c>
      <c r="J35" s="6" t="s">
        <v>837</v>
      </c>
      <c r="K35" s="6" t="s">
        <v>838</v>
      </c>
      <c r="L35" s="23"/>
      <c r="M35" s="6" t="s">
        <v>33</v>
      </c>
      <c r="N35" s="6"/>
      <c r="O35" s="6"/>
      <c r="P35" s="24"/>
      <c r="Q35" s="6"/>
      <c r="R35" s="6"/>
      <c r="S35" s="6"/>
    </row>
    <row r="36" spans="1:19" x14ac:dyDescent="0.25">
      <c r="A36" s="22" t="s">
        <v>839</v>
      </c>
      <c r="B36" s="6" t="s">
        <v>746</v>
      </c>
      <c r="C36" s="6" t="s">
        <v>840</v>
      </c>
      <c r="D36" s="6" t="s">
        <v>103</v>
      </c>
      <c r="E36" s="6" t="s">
        <v>104</v>
      </c>
      <c r="F36" s="6" t="s">
        <v>105</v>
      </c>
      <c r="G36" s="6" t="s">
        <v>80</v>
      </c>
      <c r="H36" s="6"/>
      <c r="I36" s="6" t="s">
        <v>841</v>
      </c>
      <c r="J36" s="6" t="s">
        <v>842</v>
      </c>
      <c r="K36" s="6" t="s">
        <v>843</v>
      </c>
      <c r="L36" s="23"/>
      <c r="M36" s="6" t="s">
        <v>33</v>
      </c>
      <c r="N36" s="6"/>
      <c r="O36" s="6"/>
      <c r="P36" s="24"/>
      <c r="Q36" s="6"/>
      <c r="R36" s="6"/>
      <c r="S36" s="6"/>
    </row>
    <row r="37" spans="1:19" x14ac:dyDescent="0.25">
      <c r="A37" s="22" t="s">
        <v>844</v>
      </c>
      <c r="B37" s="6" t="s">
        <v>746</v>
      </c>
      <c r="C37" s="6" t="s">
        <v>845</v>
      </c>
      <c r="D37" s="6" t="s">
        <v>140</v>
      </c>
      <c r="E37" s="6" t="s">
        <v>113</v>
      </c>
      <c r="F37" s="6" t="s">
        <v>105</v>
      </c>
      <c r="G37" s="6" t="s">
        <v>80</v>
      </c>
      <c r="H37" s="6"/>
      <c r="I37" s="6" t="s">
        <v>846</v>
      </c>
      <c r="J37" s="6" t="s">
        <v>847</v>
      </c>
      <c r="K37" s="6" t="s">
        <v>848</v>
      </c>
      <c r="L37" s="23"/>
      <c r="M37" s="6" t="s">
        <v>33</v>
      </c>
      <c r="N37" s="6"/>
      <c r="O37" s="6"/>
      <c r="P37" s="24"/>
      <c r="Q37" s="6"/>
      <c r="R37" s="6"/>
      <c r="S37" s="6"/>
    </row>
    <row r="38" spans="1:19" x14ac:dyDescent="0.25">
      <c r="A38" s="22" t="s">
        <v>849</v>
      </c>
      <c r="B38" s="6" t="s">
        <v>746</v>
      </c>
      <c r="C38" s="6" t="s">
        <v>850</v>
      </c>
      <c r="D38" s="6" t="s">
        <v>140</v>
      </c>
      <c r="E38" s="6" t="s">
        <v>104</v>
      </c>
      <c r="F38" s="6" t="s">
        <v>105</v>
      </c>
      <c r="G38" s="6" t="s">
        <v>80</v>
      </c>
      <c r="H38" s="6"/>
      <c r="I38" s="6" t="s">
        <v>851</v>
      </c>
      <c r="J38" s="6" t="s">
        <v>852</v>
      </c>
      <c r="K38" s="6" t="s">
        <v>853</v>
      </c>
      <c r="L38" s="23"/>
      <c r="M38" s="6" t="s">
        <v>33</v>
      </c>
      <c r="N38" s="6"/>
      <c r="O38" s="6"/>
      <c r="P38" s="24"/>
      <c r="Q38" s="6"/>
      <c r="R38" s="6"/>
      <c r="S38" s="6"/>
    </row>
    <row r="39" spans="1:19" x14ac:dyDescent="0.25">
      <c r="A39" s="22" t="s">
        <v>854</v>
      </c>
      <c r="B39" s="6" t="s">
        <v>746</v>
      </c>
      <c r="C39" s="6" t="s">
        <v>855</v>
      </c>
      <c r="D39" s="6" t="s">
        <v>140</v>
      </c>
      <c r="E39" s="6" t="s">
        <v>104</v>
      </c>
      <c r="F39" s="6" t="s">
        <v>105</v>
      </c>
      <c r="G39" s="6" t="s">
        <v>80</v>
      </c>
      <c r="H39" s="6"/>
      <c r="I39" s="6" t="s">
        <v>856</v>
      </c>
      <c r="J39" s="6" t="s">
        <v>857</v>
      </c>
      <c r="K39" s="6" t="s">
        <v>858</v>
      </c>
      <c r="L39" s="23" t="s">
        <v>859</v>
      </c>
      <c r="M39" s="6" t="s">
        <v>33</v>
      </c>
      <c r="N39" s="6"/>
      <c r="O39" s="6"/>
      <c r="P39" s="24"/>
      <c r="Q39" s="6"/>
      <c r="R39" s="6"/>
      <c r="S39" s="6"/>
    </row>
    <row r="40" spans="1:19" x14ac:dyDescent="0.25">
      <c r="A40" s="22" t="s">
        <v>860</v>
      </c>
      <c r="B40" s="6" t="s">
        <v>746</v>
      </c>
      <c r="C40" s="6" t="s">
        <v>861</v>
      </c>
      <c r="D40" s="6" t="s">
        <v>120</v>
      </c>
      <c r="E40" s="6" t="s">
        <v>113</v>
      </c>
      <c r="F40" s="6" t="s">
        <v>127</v>
      </c>
      <c r="G40" s="6" t="s">
        <v>80</v>
      </c>
      <c r="H40" s="6"/>
      <c r="I40" s="6" t="s">
        <v>862</v>
      </c>
      <c r="J40" s="6" t="s">
        <v>863</v>
      </c>
      <c r="K40" s="6" t="s">
        <v>864</v>
      </c>
      <c r="L40" s="23"/>
      <c r="M40" s="6" t="s">
        <v>33</v>
      </c>
      <c r="N40" s="6"/>
      <c r="O40" s="6"/>
      <c r="P40" s="24"/>
      <c r="Q40" s="6"/>
      <c r="R40" s="6"/>
      <c r="S40" s="6"/>
    </row>
    <row r="41" spans="1:19" x14ac:dyDescent="0.25">
      <c r="A41" s="22" t="s">
        <v>865</v>
      </c>
      <c r="B41" s="6" t="s">
        <v>866</v>
      </c>
      <c r="C41" s="6" t="s">
        <v>867</v>
      </c>
      <c r="D41" s="6" t="s">
        <v>103</v>
      </c>
      <c r="E41" s="6" t="s">
        <v>104</v>
      </c>
      <c r="F41" s="6" t="s">
        <v>105</v>
      </c>
      <c r="G41" s="6" t="s">
        <v>80</v>
      </c>
      <c r="H41" s="6"/>
      <c r="I41" s="6" t="s">
        <v>718</v>
      </c>
      <c r="J41" s="6" t="s">
        <v>868</v>
      </c>
      <c r="K41" s="6" t="s">
        <v>869</v>
      </c>
      <c r="L41" s="23" t="s">
        <v>870</v>
      </c>
      <c r="M41" s="6" t="s">
        <v>33</v>
      </c>
      <c r="N41" s="6"/>
      <c r="O41" s="6"/>
      <c r="P41" s="24"/>
      <c r="Q41" s="6"/>
      <c r="R41" s="6"/>
      <c r="S41" s="6"/>
    </row>
    <row r="42" spans="1:19" x14ac:dyDescent="0.25">
      <c r="A42" s="22" t="s">
        <v>871</v>
      </c>
      <c r="B42" s="6" t="s">
        <v>866</v>
      </c>
      <c r="C42" s="6" t="s">
        <v>872</v>
      </c>
      <c r="D42" s="6" t="s">
        <v>103</v>
      </c>
      <c r="E42" s="6" t="s">
        <v>104</v>
      </c>
      <c r="F42" s="6" t="s">
        <v>105</v>
      </c>
      <c r="G42" s="6" t="s">
        <v>80</v>
      </c>
      <c r="H42" s="6"/>
      <c r="I42" s="6" t="s">
        <v>873</v>
      </c>
      <c r="J42" s="6" t="s">
        <v>874</v>
      </c>
      <c r="K42" s="6" t="s">
        <v>875</v>
      </c>
      <c r="L42" s="23"/>
      <c r="M42" s="6" t="s">
        <v>33</v>
      </c>
      <c r="N42" s="6"/>
      <c r="O42" s="6"/>
      <c r="P42" s="24"/>
      <c r="Q42" s="6"/>
      <c r="R42" s="6"/>
      <c r="S42" s="6"/>
    </row>
    <row r="43" spans="1:19" x14ac:dyDescent="0.25">
      <c r="A43" s="22" t="s">
        <v>876</v>
      </c>
      <c r="B43" s="6" t="s">
        <v>866</v>
      </c>
      <c r="C43" s="6" t="s">
        <v>877</v>
      </c>
      <c r="D43" s="6" t="s">
        <v>140</v>
      </c>
      <c r="E43" s="6" t="s">
        <v>104</v>
      </c>
      <c r="F43" s="6" t="s">
        <v>105</v>
      </c>
      <c r="G43" s="6" t="s">
        <v>79</v>
      </c>
      <c r="H43" s="6"/>
      <c r="I43" s="6" t="s">
        <v>878</v>
      </c>
      <c r="J43" s="6" t="s">
        <v>879</v>
      </c>
      <c r="K43" s="6" t="s">
        <v>880</v>
      </c>
      <c r="L43" s="23" t="s">
        <v>881</v>
      </c>
      <c r="M43" s="6" t="s">
        <v>33</v>
      </c>
      <c r="N43" s="6"/>
      <c r="O43" s="6"/>
      <c r="P43" s="24"/>
      <c r="Q43" s="6"/>
      <c r="R43" s="6"/>
      <c r="S43" s="6"/>
    </row>
    <row r="44" spans="1:19" x14ac:dyDescent="0.25">
      <c r="A44" s="22" t="s">
        <v>882</v>
      </c>
      <c r="B44" s="6" t="s">
        <v>866</v>
      </c>
      <c r="C44" s="6" t="s">
        <v>883</v>
      </c>
      <c r="D44" s="6" t="s">
        <v>209</v>
      </c>
      <c r="E44" s="6" t="s">
        <v>104</v>
      </c>
      <c r="F44" s="6" t="s">
        <v>105</v>
      </c>
      <c r="G44" s="6" t="s">
        <v>80</v>
      </c>
      <c r="H44" s="6"/>
      <c r="I44" s="6" t="s">
        <v>873</v>
      </c>
      <c r="J44" s="6" t="s">
        <v>884</v>
      </c>
      <c r="K44" s="6" t="s">
        <v>885</v>
      </c>
      <c r="L44" s="23"/>
      <c r="M44" s="6" t="s">
        <v>33</v>
      </c>
      <c r="N44" s="6"/>
      <c r="O44" s="6"/>
      <c r="P44" s="24"/>
      <c r="Q44" s="6"/>
      <c r="R44" s="6"/>
      <c r="S44" s="6"/>
    </row>
    <row r="45" spans="1:19" x14ac:dyDescent="0.25">
      <c r="A45" s="22" t="s">
        <v>886</v>
      </c>
      <c r="B45" s="6" t="s">
        <v>866</v>
      </c>
      <c r="C45" s="6" t="s">
        <v>887</v>
      </c>
      <c r="D45" s="6" t="s">
        <v>103</v>
      </c>
      <c r="E45" s="6" t="s">
        <v>104</v>
      </c>
      <c r="F45" s="6" t="s">
        <v>105</v>
      </c>
      <c r="G45" s="6" t="s">
        <v>80</v>
      </c>
      <c r="H45" s="6"/>
      <c r="I45" s="6" t="s">
        <v>888</v>
      </c>
      <c r="J45" s="6" t="s">
        <v>889</v>
      </c>
      <c r="K45" s="6" t="s">
        <v>890</v>
      </c>
      <c r="L45" s="23" t="s">
        <v>891</v>
      </c>
      <c r="M45" s="6" t="s">
        <v>33</v>
      </c>
      <c r="N45" s="6"/>
      <c r="O45" s="6"/>
      <c r="P45" s="24"/>
      <c r="Q45" s="6"/>
      <c r="R45" s="6"/>
      <c r="S45" s="6"/>
    </row>
    <row r="46" spans="1:19" x14ac:dyDescent="0.25">
      <c r="A46" s="22" t="s">
        <v>892</v>
      </c>
      <c r="B46" s="6" t="s">
        <v>866</v>
      </c>
      <c r="C46" s="6" t="s">
        <v>893</v>
      </c>
      <c r="D46" s="6" t="s">
        <v>103</v>
      </c>
      <c r="E46" s="6" t="s">
        <v>104</v>
      </c>
      <c r="F46" s="6" t="s">
        <v>105</v>
      </c>
      <c r="G46" s="6" t="s">
        <v>80</v>
      </c>
      <c r="H46" s="6"/>
      <c r="I46" s="6" t="s">
        <v>894</v>
      </c>
      <c r="J46" s="6" t="s">
        <v>895</v>
      </c>
      <c r="K46" s="6" t="s">
        <v>896</v>
      </c>
      <c r="L46" s="23" t="s">
        <v>897</v>
      </c>
      <c r="M46" s="6" t="s">
        <v>33</v>
      </c>
      <c r="N46" s="6"/>
      <c r="O46" s="6"/>
      <c r="P46" s="24"/>
      <c r="Q46" s="6"/>
      <c r="R46" s="6"/>
      <c r="S46" s="6"/>
    </row>
    <row r="47" spans="1:19" x14ac:dyDescent="0.25">
      <c r="A47" s="22" t="s">
        <v>898</v>
      </c>
      <c r="B47" s="6" t="s">
        <v>866</v>
      </c>
      <c r="C47" s="6" t="s">
        <v>899</v>
      </c>
      <c r="D47" s="6" t="s">
        <v>103</v>
      </c>
      <c r="E47" s="6" t="s">
        <v>113</v>
      </c>
      <c r="F47" s="6" t="s">
        <v>105</v>
      </c>
      <c r="G47" s="6" t="s">
        <v>80</v>
      </c>
      <c r="H47" s="6"/>
      <c r="I47" s="6" t="s">
        <v>900</v>
      </c>
      <c r="J47" s="6" t="s">
        <v>901</v>
      </c>
      <c r="K47" s="6" t="s">
        <v>902</v>
      </c>
      <c r="L47" s="23" t="s">
        <v>903</v>
      </c>
      <c r="M47" s="6" t="s">
        <v>33</v>
      </c>
      <c r="N47" s="6"/>
      <c r="O47" s="6"/>
      <c r="P47" s="24"/>
      <c r="Q47" s="6"/>
      <c r="R47" s="6"/>
      <c r="S47" s="6"/>
    </row>
    <row r="48" spans="1:19" x14ac:dyDescent="0.25">
      <c r="A48" s="22" t="s">
        <v>904</v>
      </c>
      <c r="B48" s="6" t="s">
        <v>866</v>
      </c>
      <c r="C48" s="6" t="s">
        <v>905</v>
      </c>
      <c r="D48" s="6" t="s">
        <v>140</v>
      </c>
      <c r="E48" s="6" t="s">
        <v>104</v>
      </c>
      <c r="F48" s="6" t="s">
        <v>105</v>
      </c>
      <c r="G48" s="6" t="s">
        <v>80</v>
      </c>
      <c r="H48" s="6"/>
      <c r="I48" s="6" t="s">
        <v>906</v>
      </c>
      <c r="J48" s="6" t="s">
        <v>907</v>
      </c>
      <c r="K48" s="6" t="s">
        <v>908</v>
      </c>
      <c r="L48" s="23"/>
      <c r="M48" s="6" t="s">
        <v>33</v>
      </c>
      <c r="N48" s="6"/>
      <c r="O48" s="6"/>
      <c r="P48" s="24"/>
      <c r="Q48" s="6"/>
      <c r="R48" s="6"/>
      <c r="S48" s="6"/>
    </row>
    <row r="49" spans="1:19" x14ac:dyDescent="0.25">
      <c r="A49" s="22" t="s">
        <v>909</v>
      </c>
      <c r="B49" s="6" t="s">
        <v>866</v>
      </c>
      <c r="C49" s="6" t="s">
        <v>910</v>
      </c>
      <c r="D49" s="6" t="s">
        <v>103</v>
      </c>
      <c r="E49" s="6" t="s">
        <v>113</v>
      </c>
      <c r="F49" s="6" t="s">
        <v>105</v>
      </c>
      <c r="G49" s="6" t="s">
        <v>80</v>
      </c>
      <c r="H49" s="6"/>
      <c r="I49" s="6" t="s">
        <v>873</v>
      </c>
      <c r="J49" s="6" t="s">
        <v>911</v>
      </c>
      <c r="K49" s="6" t="s">
        <v>912</v>
      </c>
      <c r="L49" s="23" t="s">
        <v>913</v>
      </c>
      <c r="M49" s="6" t="s">
        <v>33</v>
      </c>
      <c r="N49" s="6"/>
      <c r="O49" s="6"/>
      <c r="P49" s="24"/>
      <c r="Q49" s="6"/>
      <c r="R49" s="6"/>
      <c r="S49" s="6"/>
    </row>
    <row r="50" spans="1:19" x14ac:dyDescent="0.25">
      <c r="A50" s="22" t="s">
        <v>914</v>
      </c>
      <c r="B50" s="6" t="s">
        <v>866</v>
      </c>
      <c r="C50" s="6" t="s">
        <v>915</v>
      </c>
      <c r="D50" s="6" t="s">
        <v>103</v>
      </c>
      <c r="E50" s="6" t="s">
        <v>113</v>
      </c>
      <c r="F50" s="6" t="s">
        <v>105</v>
      </c>
      <c r="G50" s="6" t="s">
        <v>80</v>
      </c>
      <c r="H50" s="6"/>
      <c r="I50" s="6" t="s">
        <v>916</v>
      </c>
      <c r="J50" s="6" t="s">
        <v>917</v>
      </c>
      <c r="K50" s="6" t="s">
        <v>918</v>
      </c>
      <c r="L50" s="23"/>
      <c r="M50" s="6" t="s">
        <v>33</v>
      </c>
      <c r="N50" s="6"/>
      <c r="O50" s="6"/>
      <c r="P50" s="24"/>
      <c r="Q50" s="6"/>
      <c r="R50" s="6"/>
      <c r="S50" s="6"/>
    </row>
    <row r="51" spans="1:19" x14ac:dyDescent="0.25">
      <c r="A51" s="22" t="s">
        <v>919</v>
      </c>
      <c r="B51" s="6" t="s">
        <v>866</v>
      </c>
      <c r="C51" s="6" t="s">
        <v>920</v>
      </c>
      <c r="D51" s="6" t="s">
        <v>140</v>
      </c>
      <c r="E51" s="6" t="s">
        <v>104</v>
      </c>
      <c r="F51" s="6" t="s">
        <v>105</v>
      </c>
      <c r="G51" s="6" t="s">
        <v>80</v>
      </c>
      <c r="H51" s="6"/>
      <c r="I51" s="6" t="s">
        <v>688</v>
      </c>
      <c r="J51" s="6" t="s">
        <v>921</v>
      </c>
      <c r="K51" s="6" t="s">
        <v>922</v>
      </c>
      <c r="L51" s="23"/>
      <c r="M51" s="6" t="s">
        <v>33</v>
      </c>
      <c r="N51" s="6"/>
      <c r="O51" s="6"/>
      <c r="P51" s="24"/>
      <c r="Q51" s="6"/>
      <c r="R51" s="6"/>
      <c r="S51" s="6"/>
    </row>
    <row r="52" spans="1:19" x14ac:dyDescent="0.25">
      <c r="A52" s="22" t="s">
        <v>923</v>
      </c>
      <c r="B52" s="6" t="s">
        <v>866</v>
      </c>
      <c r="C52" s="6" t="s">
        <v>924</v>
      </c>
      <c r="D52" s="6" t="s">
        <v>209</v>
      </c>
      <c r="E52" s="6" t="s">
        <v>145</v>
      </c>
      <c r="F52" s="6" t="s">
        <v>105</v>
      </c>
      <c r="G52" s="6" t="s">
        <v>80</v>
      </c>
      <c r="H52" s="6"/>
      <c r="I52" s="6" t="s">
        <v>873</v>
      </c>
      <c r="J52" s="6" t="s">
        <v>925</v>
      </c>
      <c r="K52" s="6" t="s">
        <v>926</v>
      </c>
      <c r="L52" s="23" t="s">
        <v>927</v>
      </c>
      <c r="M52" s="6" t="s">
        <v>33</v>
      </c>
      <c r="N52" s="6"/>
      <c r="O52" s="6"/>
      <c r="P52" s="24"/>
      <c r="Q52" s="6"/>
      <c r="R52" s="6"/>
      <c r="S52" s="6"/>
    </row>
    <row r="53" spans="1:19" x14ac:dyDescent="0.25">
      <c r="A53" s="22" t="s">
        <v>928</v>
      </c>
      <c r="B53" s="6" t="s">
        <v>866</v>
      </c>
      <c r="C53" s="6" t="s">
        <v>929</v>
      </c>
      <c r="D53" s="6" t="s">
        <v>103</v>
      </c>
      <c r="E53" s="6" t="s">
        <v>113</v>
      </c>
      <c r="F53" s="6" t="s">
        <v>105</v>
      </c>
      <c r="G53" s="6" t="s">
        <v>80</v>
      </c>
      <c r="H53" s="6"/>
      <c r="I53" s="6" t="s">
        <v>930</v>
      </c>
      <c r="J53" s="6" t="s">
        <v>931</v>
      </c>
      <c r="K53" s="6" t="s">
        <v>932</v>
      </c>
      <c r="L53" s="23"/>
      <c r="M53" s="6" t="s">
        <v>33</v>
      </c>
      <c r="N53" s="6"/>
      <c r="O53" s="6"/>
      <c r="P53" s="24"/>
      <c r="Q53" s="6"/>
      <c r="R53" s="6"/>
      <c r="S53" s="6"/>
    </row>
    <row r="54" spans="1:19" x14ac:dyDescent="0.25">
      <c r="A54" s="22" t="s">
        <v>933</v>
      </c>
      <c r="B54" s="6" t="s">
        <v>866</v>
      </c>
      <c r="C54" s="6" t="s">
        <v>934</v>
      </c>
      <c r="D54" s="6" t="s">
        <v>120</v>
      </c>
      <c r="E54" s="6" t="s">
        <v>113</v>
      </c>
      <c r="F54" s="6" t="s">
        <v>105</v>
      </c>
      <c r="G54" s="6" t="s">
        <v>80</v>
      </c>
      <c r="H54" s="6"/>
      <c r="I54" s="6" t="s">
        <v>935</v>
      </c>
      <c r="J54" s="6" t="s">
        <v>936</v>
      </c>
      <c r="K54" s="6" t="s">
        <v>937</v>
      </c>
      <c r="L54" s="23"/>
      <c r="M54" s="6" t="s">
        <v>33</v>
      </c>
      <c r="N54" s="6"/>
      <c r="O54" s="6"/>
      <c r="P54" s="24"/>
      <c r="Q54" s="6"/>
      <c r="R54" s="6"/>
      <c r="S54" s="6"/>
    </row>
    <row r="55" spans="1:19" x14ac:dyDescent="0.25">
      <c r="A55" s="22" t="s">
        <v>938</v>
      </c>
      <c r="B55" s="6" t="s">
        <v>866</v>
      </c>
      <c r="C55" s="6" t="s">
        <v>939</v>
      </c>
      <c r="D55" s="6" t="s">
        <v>103</v>
      </c>
      <c r="E55" s="6" t="s">
        <v>145</v>
      </c>
      <c r="F55" s="6" t="s">
        <v>121</v>
      </c>
      <c r="G55" s="6" t="s">
        <v>80</v>
      </c>
      <c r="H55" s="6"/>
      <c r="I55" s="6" t="s">
        <v>940</v>
      </c>
      <c r="J55" s="6" t="s">
        <v>941</v>
      </c>
      <c r="K55" s="6" t="s">
        <v>942</v>
      </c>
      <c r="L55" s="23"/>
      <c r="M55" s="6" t="s">
        <v>33</v>
      </c>
      <c r="N55" s="6"/>
      <c r="O55" s="6"/>
      <c r="P55" s="24"/>
      <c r="Q55" s="6"/>
      <c r="R55" s="6"/>
      <c r="S55" s="6"/>
    </row>
    <row r="56" spans="1:19" x14ac:dyDescent="0.25">
      <c r="A56" s="22" t="s">
        <v>943</v>
      </c>
      <c r="B56" s="6" t="s">
        <v>866</v>
      </c>
      <c r="C56" s="6" t="s">
        <v>944</v>
      </c>
      <c r="D56" s="6" t="s">
        <v>112</v>
      </c>
      <c r="E56" s="6" t="s">
        <v>113</v>
      </c>
      <c r="F56" s="6" t="s">
        <v>105</v>
      </c>
      <c r="G56" s="6" t="s">
        <v>80</v>
      </c>
      <c r="H56" s="6"/>
      <c r="I56" s="6" t="s">
        <v>688</v>
      </c>
      <c r="J56" s="6" t="s">
        <v>945</v>
      </c>
      <c r="K56" s="6" t="s">
        <v>946</v>
      </c>
      <c r="L56" s="23"/>
      <c r="M56" s="6" t="s">
        <v>33</v>
      </c>
      <c r="N56" s="6"/>
      <c r="O56" s="6"/>
      <c r="P56" s="24"/>
      <c r="Q56" s="6"/>
      <c r="R56" s="6"/>
      <c r="S56" s="6"/>
    </row>
    <row r="57" spans="1:19" x14ac:dyDescent="0.25">
      <c r="A57" s="22" t="s">
        <v>947</v>
      </c>
      <c r="B57" s="6" t="s">
        <v>866</v>
      </c>
      <c r="C57" s="6" t="s">
        <v>948</v>
      </c>
      <c r="D57" s="6" t="s">
        <v>140</v>
      </c>
      <c r="E57" s="6" t="s">
        <v>104</v>
      </c>
      <c r="F57" s="6" t="s">
        <v>105</v>
      </c>
      <c r="G57" s="6" t="s">
        <v>80</v>
      </c>
      <c r="H57" s="6"/>
      <c r="I57" s="6" t="s">
        <v>949</v>
      </c>
      <c r="J57" s="6" t="s">
        <v>950</v>
      </c>
      <c r="K57" s="6" t="s">
        <v>951</v>
      </c>
      <c r="L57" s="23"/>
      <c r="M57" s="6" t="s">
        <v>33</v>
      </c>
      <c r="N57" s="6"/>
      <c r="O57" s="6"/>
      <c r="P57" s="24"/>
      <c r="Q57" s="6"/>
      <c r="R57" s="6"/>
      <c r="S57" s="6"/>
    </row>
    <row r="58" spans="1:19" x14ac:dyDescent="0.25">
      <c r="A58" s="22" t="s">
        <v>952</v>
      </c>
      <c r="B58" s="6" t="s">
        <v>866</v>
      </c>
      <c r="C58" s="6" t="s">
        <v>953</v>
      </c>
      <c r="D58" s="6" t="s">
        <v>112</v>
      </c>
      <c r="E58" s="6" t="s">
        <v>145</v>
      </c>
      <c r="F58" s="6" t="s">
        <v>121</v>
      </c>
      <c r="G58" s="6" t="s">
        <v>80</v>
      </c>
      <c r="H58" s="6"/>
      <c r="I58" s="6" t="s">
        <v>954</v>
      </c>
      <c r="J58" s="6" t="s">
        <v>955</v>
      </c>
      <c r="K58" s="6" t="s">
        <v>956</v>
      </c>
      <c r="L58" s="23" t="s">
        <v>957</v>
      </c>
      <c r="M58" s="6" t="s">
        <v>33</v>
      </c>
      <c r="N58" s="6"/>
      <c r="O58" s="6"/>
      <c r="P58" s="24"/>
      <c r="Q58" s="6"/>
      <c r="R58" s="6"/>
      <c r="S58" s="6"/>
    </row>
    <row r="59" spans="1:19" x14ac:dyDescent="0.25">
      <c r="A59" s="22" t="s">
        <v>958</v>
      </c>
      <c r="B59" s="6" t="s">
        <v>866</v>
      </c>
      <c r="C59" s="6" t="s">
        <v>959</v>
      </c>
      <c r="D59" s="6" t="s">
        <v>120</v>
      </c>
      <c r="E59" s="6" t="s">
        <v>113</v>
      </c>
      <c r="F59" s="6" t="s">
        <v>127</v>
      </c>
      <c r="G59" s="6" t="s">
        <v>80</v>
      </c>
      <c r="H59" s="6"/>
      <c r="I59" s="6" t="s">
        <v>960</v>
      </c>
      <c r="J59" s="6" t="s">
        <v>961</v>
      </c>
      <c r="K59" s="6" t="s">
        <v>962</v>
      </c>
      <c r="L59" s="23"/>
      <c r="M59" s="6" t="s">
        <v>33</v>
      </c>
      <c r="N59" s="6"/>
      <c r="O59" s="6"/>
      <c r="P59" s="24"/>
      <c r="Q59" s="6"/>
      <c r="R59" s="6"/>
      <c r="S59" s="6"/>
    </row>
    <row r="60" spans="1:19" x14ac:dyDescent="0.25">
      <c r="A60" s="22" t="s">
        <v>963</v>
      </c>
      <c r="B60" s="6" t="s">
        <v>964</v>
      </c>
      <c r="C60" s="6" t="s">
        <v>965</v>
      </c>
      <c r="D60" s="6" t="s">
        <v>103</v>
      </c>
      <c r="E60" s="6" t="s">
        <v>104</v>
      </c>
      <c r="F60" s="6" t="s">
        <v>105</v>
      </c>
      <c r="G60" s="6" t="s">
        <v>80</v>
      </c>
      <c r="H60" s="6"/>
      <c r="I60" s="6" t="s">
        <v>873</v>
      </c>
      <c r="J60" s="6" t="s">
        <v>966</v>
      </c>
      <c r="K60" s="6" t="s">
        <v>967</v>
      </c>
      <c r="L60" s="23"/>
      <c r="M60" s="6" t="s">
        <v>33</v>
      </c>
      <c r="N60" s="6"/>
      <c r="O60" s="6"/>
      <c r="P60" s="24"/>
      <c r="Q60" s="6"/>
      <c r="R60" s="6"/>
      <c r="S60" s="6"/>
    </row>
    <row r="61" spans="1:19" x14ac:dyDescent="0.25">
      <c r="A61" s="22" t="s">
        <v>968</v>
      </c>
      <c r="B61" s="6" t="s">
        <v>964</v>
      </c>
      <c r="C61" s="6" t="s">
        <v>969</v>
      </c>
      <c r="D61" s="6" t="s">
        <v>103</v>
      </c>
      <c r="E61" s="6" t="s">
        <v>113</v>
      </c>
      <c r="F61" s="6" t="s">
        <v>105</v>
      </c>
      <c r="G61" s="6" t="s">
        <v>80</v>
      </c>
      <c r="H61" s="6"/>
      <c r="I61" s="6" t="s">
        <v>970</v>
      </c>
      <c r="J61" s="6" t="s">
        <v>971</v>
      </c>
      <c r="K61" s="6" t="s">
        <v>972</v>
      </c>
      <c r="L61" s="23"/>
      <c r="M61" s="6" t="s">
        <v>33</v>
      </c>
      <c r="N61" s="6"/>
      <c r="O61" s="6"/>
      <c r="P61" s="24"/>
      <c r="Q61" s="6"/>
      <c r="R61" s="6"/>
      <c r="S61" s="6"/>
    </row>
    <row r="62" spans="1:19" x14ac:dyDescent="0.25">
      <c r="A62" s="22" t="s">
        <v>973</v>
      </c>
      <c r="B62" s="6" t="s">
        <v>964</v>
      </c>
      <c r="C62" s="6" t="s">
        <v>974</v>
      </c>
      <c r="D62" s="6" t="s">
        <v>103</v>
      </c>
      <c r="E62" s="6" t="s">
        <v>113</v>
      </c>
      <c r="F62" s="6" t="s">
        <v>105</v>
      </c>
      <c r="G62" s="6" t="s">
        <v>80</v>
      </c>
      <c r="H62" s="6"/>
      <c r="I62" s="6" t="s">
        <v>975</v>
      </c>
      <c r="J62" s="6" t="s">
        <v>976</v>
      </c>
      <c r="K62" s="6" t="s">
        <v>977</v>
      </c>
      <c r="L62" s="23"/>
      <c r="M62" s="6" t="s">
        <v>33</v>
      </c>
      <c r="N62" s="6"/>
      <c r="O62" s="6"/>
      <c r="P62" s="24"/>
      <c r="Q62" s="6"/>
      <c r="R62" s="6"/>
      <c r="S62" s="6"/>
    </row>
    <row r="63" spans="1:19" x14ac:dyDescent="0.25">
      <c r="A63" s="22" t="s">
        <v>978</v>
      </c>
      <c r="B63" s="6" t="s">
        <v>964</v>
      </c>
      <c r="C63" s="6" t="s">
        <v>979</v>
      </c>
      <c r="D63" s="6" t="s">
        <v>120</v>
      </c>
      <c r="E63" s="6" t="s">
        <v>145</v>
      </c>
      <c r="F63" s="6" t="s">
        <v>105</v>
      </c>
      <c r="G63" s="6" t="s">
        <v>80</v>
      </c>
      <c r="H63" s="6"/>
      <c r="I63" s="6" t="s">
        <v>980</v>
      </c>
      <c r="J63" s="6" t="s">
        <v>981</v>
      </c>
      <c r="K63" s="6" t="s">
        <v>982</v>
      </c>
      <c r="L63" s="23"/>
      <c r="M63" s="6" t="s">
        <v>33</v>
      </c>
      <c r="N63" s="6"/>
      <c r="O63" s="6"/>
      <c r="P63" s="24"/>
      <c r="Q63" s="6"/>
      <c r="R63" s="6"/>
      <c r="S63" s="6"/>
    </row>
    <row r="64" spans="1:19" x14ac:dyDescent="0.25">
      <c r="A64" s="22" t="s">
        <v>983</v>
      </c>
      <c r="B64" s="6" t="s">
        <v>984</v>
      </c>
      <c r="C64" s="6" t="s">
        <v>985</v>
      </c>
      <c r="D64" s="6" t="s">
        <v>140</v>
      </c>
      <c r="E64" s="6" t="s">
        <v>104</v>
      </c>
      <c r="F64" s="6" t="s">
        <v>105</v>
      </c>
      <c r="G64" s="6" t="s">
        <v>80</v>
      </c>
      <c r="H64" s="6"/>
      <c r="I64" s="6" t="s">
        <v>688</v>
      </c>
      <c r="J64" s="6" t="s">
        <v>986</v>
      </c>
      <c r="K64" s="6" t="s">
        <v>987</v>
      </c>
      <c r="L64" s="23"/>
      <c r="M64" s="6" t="s">
        <v>33</v>
      </c>
      <c r="N64" s="6"/>
      <c r="O64" s="6"/>
      <c r="P64" s="24"/>
      <c r="Q64" s="6"/>
      <c r="R64" s="6"/>
      <c r="S64" s="6"/>
    </row>
    <row r="65" spans="1:19" x14ac:dyDescent="0.25">
      <c r="A65" s="22" t="s">
        <v>988</v>
      </c>
      <c r="B65" s="6" t="s">
        <v>984</v>
      </c>
      <c r="C65" s="6" t="s">
        <v>989</v>
      </c>
      <c r="D65" s="6" t="s">
        <v>103</v>
      </c>
      <c r="E65" s="6" t="s">
        <v>113</v>
      </c>
      <c r="F65" s="6" t="s">
        <v>105</v>
      </c>
      <c r="G65" s="6" t="s">
        <v>80</v>
      </c>
      <c r="H65" s="6"/>
      <c r="I65" s="6" t="s">
        <v>688</v>
      </c>
      <c r="J65" s="6" t="s">
        <v>990</v>
      </c>
      <c r="K65" s="6" t="s">
        <v>991</v>
      </c>
      <c r="L65" s="23"/>
      <c r="M65" s="6" t="s">
        <v>33</v>
      </c>
      <c r="N65" s="6"/>
      <c r="O65" s="6"/>
      <c r="P65" s="24"/>
      <c r="Q65" s="6"/>
      <c r="R65" s="6"/>
      <c r="S65" s="6"/>
    </row>
    <row r="66" spans="1:19" x14ac:dyDescent="0.25">
      <c r="A66" s="22" t="s">
        <v>992</v>
      </c>
      <c r="B66" s="6" t="s">
        <v>984</v>
      </c>
      <c r="C66" s="6" t="s">
        <v>993</v>
      </c>
      <c r="D66" s="6" t="s">
        <v>120</v>
      </c>
      <c r="E66" s="6" t="s">
        <v>113</v>
      </c>
      <c r="F66" s="6" t="s">
        <v>105</v>
      </c>
      <c r="G66" s="6" t="s">
        <v>80</v>
      </c>
      <c r="H66" s="6"/>
      <c r="I66" s="6" t="s">
        <v>994</v>
      </c>
      <c r="J66" s="6" t="s">
        <v>995</v>
      </c>
      <c r="K66" s="6" t="s">
        <v>996</v>
      </c>
      <c r="L66" s="23"/>
      <c r="M66" s="6" t="s">
        <v>33</v>
      </c>
      <c r="N66" s="6"/>
      <c r="O66" s="6"/>
      <c r="P66" s="24"/>
      <c r="Q66" s="6"/>
      <c r="R66" s="6"/>
      <c r="S66" s="6"/>
    </row>
    <row r="67" spans="1:19" x14ac:dyDescent="0.25">
      <c r="A67" s="22" t="s">
        <v>997</v>
      </c>
      <c r="B67" s="6" t="s">
        <v>998</v>
      </c>
      <c r="C67" s="6" t="s">
        <v>999</v>
      </c>
      <c r="D67" s="6" t="s">
        <v>140</v>
      </c>
      <c r="E67" s="6" t="s">
        <v>104</v>
      </c>
      <c r="F67" s="6" t="s">
        <v>105</v>
      </c>
      <c r="G67" s="6" t="s">
        <v>80</v>
      </c>
      <c r="H67" s="6"/>
      <c r="I67" s="6" t="s">
        <v>688</v>
      </c>
      <c r="J67" s="6" t="s">
        <v>1000</v>
      </c>
      <c r="K67" s="6" t="s">
        <v>1001</v>
      </c>
      <c r="L67" s="23"/>
      <c r="M67" s="6" t="s">
        <v>33</v>
      </c>
      <c r="N67" s="6"/>
      <c r="O67" s="6"/>
      <c r="P67" s="24"/>
      <c r="Q67" s="6"/>
      <c r="R67" s="6"/>
      <c r="S67" s="6"/>
    </row>
    <row r="68" spans="1:19" x14ac:dyDescent="0.25">
      <c r="A68" s="22" t="s">
        <v>1002</v>
      </c>
      <c r="B68" s="6" t="s">
        <v>998</v>
      </c>
      <c r="C68" s="6" t="s">
        <v>1003</v>
      </c>
      <c r="D68" s="6" t="s">
        <v>103</v>
      </c>
      <c r="E68" s="6" t="s">
        <v>113</v>
      </c>
      <c r="F68" s="6" t="s">
        <v>105</v>
      </c>
      <c r="G68" s="6" t="s">
        <v>80</v>
      </c>
      <c r="H68" s="6"/>
      <c r="I68" s="6" t="s">
        <v>688</v>
      </c>
      <c r="J68" s="6" t="s">
        <v>1004</v>
      </c>
      <c r="K68" s="6" t="s">
        <v>1005</v>
      </c>
      <c r="L68" s="23"/>
      <c r="M68" s="6" t="s">
        <v>33</v>
      </c>
      <c r="N68" s="6"/>
      <c r="O68" s="6"/>
      <c r="P68" s="24"/>
      <c r="Q68" s="6"/>
      <c r="R68" s="6"/>
      <c r="S68" s="6"/>
    </row>
    <row r="69" spans="1:19" x14ac:dyDescent="0.25">
      <c r="A69" s="22" t="s">
        <v>1006</v>
      </c>
      <c r="B69" s="6" t="s">
        <v>998</v>
      </c>
      <c r="C69" s="6" t="s">
        <v>1007</v>
      </c>
      <c r="D69" s="6" t="s">
        <v>120</v>
      </c>
      <c r="E69" s="6" t="s">
        <v>145</v>
      </c>
      <c r="F69" s="6" t="s">
        <v>105</v>
      </c>
      <c r="G69" s="6" t="s">
        <v>80</v>
      </c>
      <c r="H69" s="6"/>
      <c r="I69" s="6" t="s">
        <v>1008</v>
      </c>
      <c r="J69" s="6" t="s">
        <v>1009</v>
      </c>
      <c r="K69" s="6" t="s">
        <v>1010</v>
      </c>
      <c r="L69" s="23"/>
      <c r="M69" s="6" t="s">
        <v>33</v>
      </c>
      <c r="N69" s="6"/>
      <c r="O69" s="6"/>
      <c r="P69" s="24"/>
      <c r="Q69" s="6"/>
      <c r="R69" s="6"/>
      <c r="S69" s="6"/>
    </row>
    <row r="70" spans="1:19" x14ac:dyDescent="0.25">
      <c r="A70" s="22" t="s">
        <v>1011</v>
      </c>
      <c r="B70" s="6" t="s">
        <v>1012</v>
      </c>
      <c r="C70" s="6" t="s">
        <v>1013</v>
      </c>
      <c r="D70" s="6" t="s">
        <v>140</v>
      </c>
      <c r="E70" s="6" t="s">
        <v>113</v>
      </c>
      <c r="F70" s="6" t="s">
        <v>105</v>
      </c>
      <c r="G70" s="6" t="s">
        <v>80</v>
      </c>
      <c r="H70" s="6"/>
      <c r="I70" s="6" t="s">
        <v>1014</v>
      </c>
      <c r="J70" s="6" t="s">
        <v>1015</v>
      </c>
      <c r="K70" s="6" t="s">
        <v>1016</v>
      </c>
      <c r="L70" s="23"/>
      <c r="M70" s="6" t="s">
        <v>33</v>
      </c>
      <c r="N70" s="6"/>
      <c r="O70" s="6"/>
      <c r="P70" s="24"/>
      <c r="Q70" s="6"/>
      <c r="R70" s="6"/>
      <c r="S70" s="6"/>
    </row>
    <row r="71" spans="1:19" x14ac:dyDescent="0.25">
      <c r="A71" s="22" t="s">
        <v>1017</v>
      </c>
      <c r="B71" s="6" t="s">
        <v>1012</v>
      </c>
      <c r="C71" s="6" t="s">
        <v>1018</v>
      </c>
      <c r="D71" s="6" t="s">
        <v>120</v>
      </c>
      <c r="E71" s="6" t="s">
        <v>145</v>
      </c>
      <c r="F71" s="6" t="s">
        <v>105</v>
      </c>
      <c r="G71" s="6" t="s">
        <v>80</v>
      </c>
      <c r="H71" s="6"/>
      <c r="I71" s="6" t="s">
        <v>1019</v>
      </c>
      <c r="J71" s="6" t="s">
        <v>1020</v>
      </c>
      <c r="K71" s="6" t="s">
        <v>1021</v>
      </c>
      <c r="L71" s="23"/>
      <c r="M71" s="6" t="s">
        <v>33</v>
      </c>
      <c r="N71" s="6"/>
      <c r="O71" s="6"/>
      <c r="P71" s="24"/>
      <c r="Q71" s="6"/>
      <c r="R71" s="6"/>
      <c r="S71" s="6"/>
    </row>
    <row r="72" spans="1:19" x14ac:dyDescent="0.25">
      <c r="A72" s="22" t="s">
        <v>1022</v>
      </c>
      <c r="B72" s="6" t="s">
        <v>1023</v>
      </c>
      <c r="C72" s="6" t="s">
        <v>1024</v>
      </c>
      <c r="D72" s="6" t="s">
        <v>140</v>
      </c>
      <c r="E72" s="6" t="s">
        <v>113</v>
      </c>
      <c r="F72" s="6" t="s">
        <v>105</v>
      </c>
      <c r="G72" s="6" t="s">
        <v>80</v>
      </c>
      <c r="H72" s="6"/>
      <c r="I72" s="6" t="s">
        <v>688</v>
      </c>
      <c r="J72" s="6" t="s">
        <v>1025</v>
      </c>
      <c r="K72" s="6" t="s">
        <v>1026</v>
      </c>
      <c r="L72" s="23"/>
      <c r="M72" s="6" t="s">
        <v>33</v>
      </c>
      <c r="N72" s="6"/>
      <c r="O72" s="6"/>
      <c r="P72" s="24"/>
      <c r="Q72" s="6"/>
      <c r="R72" s="6"/>
      <c r="S72" s="6"/>
    </row>
    <row r="73" spans="1:19" x14ac:dyDescent="0.25">
      <c r="A73" s="22" t="s">
        <v>1027</v>
      </c>
      <c r="B73" s="6" t="s">
        <v>1028</v>
      </c>
      <c r="C73" s="6" t="s">
        <v>1029</v>
      </c>
      <c r="D73" s="6" t="s">
        <v>140</v>
      </c>
      <c r="E73" s="6" t="s">
        <v>104</v>
      </c>
      <c r="F73" s="6" t="s">
        <v>105</v>
      </c>
      <c r="G73" s="6" t="s">
        <v>80</v>
      </c>
      <c r="H73" s="6"/>
      <c r="I73" s="6" t="s">
        <v>688</v>
      </c>
      <c r="J73" s="6" t="s">
        <v>1030</v>
      </c>
      <c r="K73" s="6" t="s">
        <v>1031</v>
      </c>
      <c r="L73" s="23"/>
      <c r="M73" s="6" t="s">
        <v>33</v>
      </c>
      <c r="N73" s="6"/>
      <c r="O73" s="6"/>
      <c r="P73" s="24"/>
      <c r="Q73" s="6"/>
      <c r="R73" s="6"/>
      <c r="S73" s="6"/>
    </row>
    <row r="74" spans="1:19" x14ac:dyDescent="0.25">
      <c r="A74" s="22" t="s">
        <v>1032</v>
      </c>
      <c r="B74" s="6" t="s">
        <v>1028</v>
      </c>
      <c r="C74" s="6" t="s">
        <v>1033</v>
      </c>
      <c r="D74" s="6" t="s">
        <v>140</v>
      </c>
      <c r="E74" s="6" t="s">
        <v>104</v>
      </c>
      <c r="F74" s="6" t="s">
        <v>105</v>
      </c>
      <c r="G74" s="6" t="s">
        <v>80</v>
      </c>
      <c r="H74" s="6"/>
      <c r="I74" s="6" t="s">
        <v>1034</v>
      </c>
      <c r="J74" s="6" t="s">
        <v>1035</v>
      </c>
      <c r="K74" s="6" t="s">
        <v>1036</v>
      </c>
      <c r="L74" s="23"/>
      <c r="M74" s="6" t="s">
        <v>33</v>
      </c>
      <c r="N74" s="6"/>
      <c r="O74" s="6"/>
      <c r="P74" s="24"/>
      <c r="Q74" s="6"/>
      <c r="R74" s="6"/>
      <c r="S74" s="6"/>
    </row>
    <row r="75" spans="1:19" x14ac:dyDescent="0.25">
      <c r="A75" s="22" t="s">
        <v>1037</v>
      </c>
      <c r="B75" s="6" t="s">
        <v>1038</v>
      </c>
      <c r="C75" s="6" t="s">
        <v>1039</v>
      </c>
      <c r="D75" s="6" t="s">
        <v>140</v>
      </c>
      <c r="E75" s="6" t="s">
        <v>104</v>
      </c>
      <c r="F75" s="6" t="s">
        <v>105</v>
      </c>
      <c r="G75" s="6" t="s">
        <v>80</v>
      </c>
      <c r="H75" s="6"/>
      <c r="I75" s="6" t="s">
        <v>688</v>
      </c>
      <c r="J75" s="6" t="s">
        <v>1040</v>
      </c>
      <c r="K75" s="6" t="s">
        <v>1041</v>
      </c>
      <c r="L75" s="23"/>
      <c r="M75" s="6" t="s">
        <v>33</v>
      </c>
      <c r="N75" s="6"/>
      <c r="O75" s="6"/>
      <c r="P75" s="24"/>
      <c r="Q75" s="6"/>
      <c r="R75" s="6"/>
      <c r="S75" s="6"/>
    </row>
    <row r="76" spans="1:19" x14ac:dyDescent="0.25">
      <c r="A76" s="22" t="s">
        <v>1042</v>
      </c>
      <c r="B76" s="6" t="s">
        <v>1038</v>
      </c>
      <c r="C76" s="6" t="s">
        <v>1043</v>
      </c>
      <c r="D76" s="6" t="s">
        <v>103</v>
      </c>
      <c r="E76" s="6" t="s">
        <v>113</v>
      </c>
      <c r="F76" s="6" t="s">
        <v>105</v>
      </c>
      <c r="G76" s="6" t="s">
        <v>80</v>
      </c>
      <c r="H76" s="6"/>
      <c r="I76" s="6" t="s">
        <v>688</v>
      </c>
      <c r="J76" s="6" t="s">
        <v>1044</v>
      </c>
      <c r="K76" s="6" t="s">
        <v>1045</v>
      </c>
      <c r="L76" s="23"/>
      <c r="M76" s="6" t="s">
        <v>33</v>
      </c>
      <c r="N76" s="6"/>
      <c r="O76" s="6"/>
      <c r="P76" s="24"/>
      <c r="Q76" s="6"/>
      <c r="R76" s="6"/>
      <c r="S76" s="6"/>
    </row>
    <row r="77" spans="1:19" x14ac:dyDescent="0.25">
      <c r="A77" s="22" t="s">
        <v>1046</v>
      </c>
      <c r="B77" s="6" t="s">
        <v>1038</v>
      </c>
      <c r="C77" s="6" t="s">
        <v>1047</v>
      </c>
      <c r="D77" s="6" t="s">
        <v>140</v>
      </c>
      <c r="E77" s="6" t="s">
        <v>113</v>
      </c>
      <c r="F77" s="6" t="s">
        <v>105</v>
      </c>
      <c r="G77" s="6" t="s">
        <v>80</v>
      </c>
      <c r="H77" s="6"/>
      <c r="I77" s="6" t="s">
        <v>1048</v>
      </c>
      <c r="J77" s="6" t="s">
        <v>1049</v>
      </c>
      <c r="K77" s="6" t="s">
        <v>1050</v>
      </c>
      <c r="L77" s="23" t="s">
        <v>1051</v>
      </c>
      <c r="M77" s="6" t="s">
        <v>33</v>
      </c>
      <c r="N77" s="6"/>
      <c r="O77" s="6"/>
      <c r="P77" s="24"/>
      <c r="Q77" s="6"/>
      <c r="R77" s="6"/>
      <c r="S77" s="6"/>
    </row>
    <row r="78" spans="1:19" x14ac:dyDescent="0.25">
      <c r="A78" s="22" t="s">
        <v>1052</v>
      </c>
      <c r="B78" s="6" t="s">
        <v>1038</v>
      </c>
      <c r="C78" s="6" t="s">
        <v>1053</v>
      </c>
      <c r="D78" s="6" t="s">
        <v>140</v>
      </c>
      <c r="E78" s="6" t="s">
        <v>104</v>
      </c>
      <c r="F78" s="6" t="s">
        <v>105</v>
      </c>
      <c r="G78" s="6" t="s">
        <v>80</v>
      </c>
      <c r="H78" s="6"/>
      <c r="I78" s="6" t="s">
        <v>1054</v>
      </c>
      <c r="J78" s="6" t="s">
        <v>1055</v>
      </c>
      <c r="K78" s="6" t="s">
        <v>1056</v>
      </c>
      <c r="L78" s="23"/>
      <c r="M78" s="6" t="s">
        <v>33</v>
      </c>
      <c r="N78" s="6"/>
      <c r="O78" s="6"/>
      <c r="P78" s="24"/>
      <c r="Q78" s="6"/>
      <c r="R78" s="6"/>
      <c r="S78" s="6"/>
    </row>
    <row r="79" spans="1:19" x14ac:dyDescent="0.25">
      <c r="A79" s="22" t="s">
        <v>1057</v>
      </c>
      <c r="B79" s="6" t="s">
        <v>1058</v>
      </c>
      <c r="C79" s="6" t="s">
        <v>1059</v>
      </c>
      <c r="D79" s="6" t="s">
        <v>103</v>
      </c>
      <c r="E79" s="6" t="s">
        <v>113</v>
      </c>
      <c r="F79" s="6" t="s">
        <v>105</v>
      </c>
      <c r="G79" s="6" t="s">
        <v>80</v>
      </c>
      <c r="H79" s="6"/>
      <c r="I79" s="6" t="s">
        <v>688</v>
      </c>
      <c r="J79" s="6" t="s">
        <v>1060</v>
      </c>
      <c r="K79" s="6" t="s">
        <v>1061</v>
      </c>
      <c r="L79" s="23" t="s">
        <v>1062</v>
      </c>
      <c r="M79" s="6" t="s">
        <v>33</v>
      </c>
      <c r="N79" s="6"/>
      <c r="O79" s="6"/>
      <c r="P79" s="24"/>
      <c r="Q79" s="6"/>
      <c r="R79" s="6"/>
      <c r="S79" s="6"/>
    </row>
    <row r="80" spans="1:19" x14ac:dyDescent="0.25">
      <c r="A80" s="22" t="s">
        <v>1063</v>
      </c>
      <c r="B80" s="6" t="s">
        <v>1058</v>
      </c>
      <c r="C80" s="6" t="s">
        <v>1064</v>
      </c>
      <c r="D80" s="6" t="s">
        <v>140</v>
      </c>
      <c r="E80" s="6" t="s">
        <v>104</v>
      </c>
      <c r="F80" s="6" t="s">
        <v>105</v>
      </c>
      <c r="G80" s="6" t="s">
        <v>80</v>
      </c>
      <c r="H80" s="6"/>
      <c r="I80" s="6" t="s">
        <v>688</v>
      </c>
      <c r="J80" s="6" t="s">
        <v>1065</v>
      </c>
      <c r="K80" s="6" t="s">
        <v>1066</v>
      </c>
      <c r="L80" s="23"/>
      <c r="M80" s="6" t="s">
        <v>33</v>
      </c>
      <c r="N80" s="6"/>
      <c r="O80" s="6"/>
      <c r="P80" s="24"/>
      <c r="Q80" s="6"/>
      <c r="R80" s="6"/>
      <c r="S80" s="6"/>
    </row>
    <row r="81" spans="1:19" x14ac:dyDescent="0.25">
      <c r="A81" s="22" t="s">
        <v>1067</v>
      </c>
      <c r="B81" s="6" t="s">
        <v>1068</v>
      </c>
      <c r="C81" s="6" t="s">
        <v>1069</v>
      </c>
      <c r="D81" s="6" t="s">
        <v>103</v>
      </c>
      <c r="E81" s="6" t="s">
        <v>113</v>
      </c>
      <c r="F81" s="6" t="s">
        <v>105</v>
      </c>
      <c r="G81" s="6" t="s">
        <v>80</v>
      </c>
      <c r="H81" s="6"/>
      <c r="I81" s="6" t="s">
        <v>1070</v>
      </c>
      <c r="J81" s="6" t="s">
        <v>1071</v>
      </c>
      <c r="K81" s="6" t="s">
        <v>1072</v>
      </c>
      <c r="L81" s="23"/>
      <c r="M81" s="6" t="s">
        <v>33</v>
      </c>
      <c r="N81" s="6"/>
      <c r="O81" s="6"/>
      <c r="P81" s="24"/>
      <c r="Q81" s="6"/>
      <c r="R81" s="6"/>
      <c r="S81" s="6"/>
    </row>
    <row r="82" spans="1:19" x14ac:dyDescent="0.25">
      <c r="A82" s="22" t="s">
        <v>1073</v>
      </c>
      <c r="B82" s="6" t="s">
        <v>1068</v>
      </c>
      <c r="C82" s="6" t="s">
        <v>1074</v>
      </c>
      <c r="D82" s="6" t="s">
        <v>140</v>
      </c>
      <c r="E82" s="6" t="s">
        <v>113</v>
      </c>
      <c r="F82" s="6" t="s">
        <v>105</v>
      </c>
      <c r="G82" s="6" t="s">
        <v>80</v>
      </c>
      <c r="H82" s="6"/>
      <c r="I82" s="6" t="s">
        <v>688</v>
      </c>
      <c r="J82" s="6" t="s">
        <v>1075</v>
      </c>
      <c r="K82" s="6" t="s">
        <v>1076</v>
      </c>
      <c r="L82" s="23"/>
      <c r="M82" s="6" t="s">
        <v>33</v>
      </c>
      <c r="N82" s="6"/>
      <c r="O82" s="6"/>
      <c r="P82" s="24"/>
      <c r="Q82" s="6"/>
      <c r="R82" s="6"/>
      <c r="S82" s="6"/>
    </row>
    <row r="83" spans="1:19" x14ac:dyDescent="0.25">
      <c r="A83" s="22" t="s">
        <v>1077</v>
      </c>
      <c r="B83" s="6" t="s">
        <v>1078</v>
      </c>
      <c r="C83" s="6" t="s">
        <v>1079</v>
      </c>
      <c r="D83" s="6" t="s">
        <v>140</v>
      </c>
      <c r="E83" s="6" t="s">
        <v>104</v>
      </c>
      <c r="F83" s="6" t="s">
        <v>105</v>
      </c>
      <c r="G83" s="6" t="s">
        <v>80</v>
      </c>
      <c r="H83" s="6"/>
      <c r="I83" s="6" t="s">
        <v>688</v>
      </c>
      <c r="J83" s="6" t="s">
        <v>1080</v>
      </c>
      <c r="K83" s="6" t="s">
        <v>1081</v>
      </c>
      <c r="L83" s="23"/>
      <c r="M83" s="6" t="s">
        <v>33</v>
      </c>
      <c r="N83" s="6"/>
      <c r="O83" s="6"/>
      <c r="P83" s="24"/>
      <c r="Q83" s="6"/>
      <c r="R83" s="6"/>
      <c r="S83" s="6"/>
    </row>
    <row r="84" spans="1:19" x14ac:dyDescent="0.25">
      <c r="A84" s="22" t="s">
        <v>1082</v>
      </c>
      <c r="B84" s="6" t="s">
        <v>1078</v>
      </c>
      <c r="C84" s="6" t="s">
        <v>1083</v>
      </c>
      <c r="D84" s="6" t="s">
        <v>140</v>
      </c>
      <c r="E84" s="6" t="s">
        <v>104</v>
      </c>
      <c r="F84" s="6" t="s">
        <v>105</v>
      </c>
      <c r="G84" s="6" t="s">
        <v>80</v>
      </c>
      <c r="H84" s="6"/>
      <c r="I84" s="6" t="s">
        <v>688</v>
      </c>
      <c r="J84" s="6" t="s">
        <v>1084</v>
      </c>
      <c r="K84" s="6" t="s">
        <v>1085</v>
      </c>
      <c r="L84" s="23"/>
      <c r="M84" s="6" t="s">
        <v>33</v>
      </c>
      <c r="N84" s="6"/>
      <c r="O84" s="6"/>
      <c r="P84" s="24"/>
      <c r="Q84" s="6"/>
      <c r="R84" s="6"/>
      <c r="S84" s="6"/>
    </row>
    <row r="85" spans="1:19" x14ac:dyDescent="0.25">
      <c r="A85" s="22" t="s">
        <v>1086</v>
      </c>
      <c r="B85" s="6" t="s">
        <v>1078</v>
      </c>
      <c r="C85" s="6" t="s">
        <v>1087</v>
      </c>
      <c r="D85" s="6" t="s">
        <v>140</v>
      </c>
      <c r="E85" s="6" t="s">
        <v>104</v>
      </c>
      <c r="F85" s="6" t="s">
        <v>105</v>
      </c>
      <c r="G85" s="6" t="s">
        <v>80</v>
      </c>
      <c r="H85" s="6"/>
      <c r="I85" s="6" t="s">
        <v>688</v>
      </c>
      <c r="J85" s="6" t="s">
        <v>1088</v>
      </c>
      <c r="K85" s="6" t="s">
        <v>1089</v>
      </c>
      <c r="L85" s="23"/>
      <c r="M85" s="6" t="s">
        <v>33</v>
      </c>
      <c r="N85" s="6"/>
      <c r="O85" s="6"/>
      <c r="P85" s="24"/>
      <c r="Q85" s="6"/>
      <c r="R85" s="6"/>
      <c r="S85" s="6"/>
    </row>
    <row r="86" spans="1:19" x14ac:dyDescent="0.25">
      <c r="A86" s="22" t="s">
        <v>1090</v>
      </c>
      <c r="B86" s="6" t="s">
        <v>1078</v>
      </c>
      <c r="C86" s="6" t="s">
        <v>1091</v>
      </c>
      <c r="D86" s="6" t="s">
        <v>140</v>
      </c>
      <c r="E86" s="6" t="s">
        <v>113</v>
      </c>
      <c r="F86" s="6" t="s">
        <v>105</v>
      </c>
      <c r="G86" s="6" t="s">
        <v>80</v>
      </c>
      <c r="H86" s="6"/>
      <c r="I86" s="6" t="s">
        <v>688</v>
      </c>
      <c r="J86" s="6" t="s">
        <v>1092</v>
      </c>
      <c r="K86" s="6" t="s">
        <v>1093</v>
      </c>
      <c r="L86" s="23"/>
      <c r="M86" s="6" t="s">
        <v>33</v>
      </c>
      <c r="N86" s="6"/>
      <c r="O86" s="6"/>
      <c r="P86" s="24"/>
      <c r="Q86" s="6"/>
      <c r="R86" s="6"/>
      <c r="S86" s="6"/>
    </row>
    <row r="87" spans="1:19" x14ac:dyDescent="0.25">
      <c r="A87" s="22" t="s">
        <v>1094</v>
      </c>
      <c r="B87" s="6" t="s">
        <v>1078</v>
      </c>
      <c r="C87" s="6" t="s">
        <v>1095</v>
      </c>
      <c r="D87" s="6" t="s">
        <v>112</v>
      </c>
      <c r="E87" s="6" t="s">
        <v>113</v>
      </c>
      <c r="F87" s="6" t="s">
        <v>105</v>
      </c>
      <c r="G87" s="6" t="s">
        <v>80</v>
      </c>
      <c r="H87" s="6"/>
      <c r="I87" s="6" t="s">
        <v>688</v>
      </c>
      <c r="J87" s="6" t="s">
        <v>1096</v>
      </c>
      <c r="K87" s="6" t="s">
        <v>1097</v>
      </c>
      <c r="L87" s="23"/>
      <c r="M87" s="6" t="s">
        <v>33</v>
      </c>
      <c r="N87" s="6"/>
      <c r="O87" s="6"/>
      <c r="P87" s="24"/>
      <c r="Q87" s="6"/>
      <c r="R87" s="6"/>
      <c r="S87" s="6"/>
    </row>
    <row r="88" spans="1:19" x14ac:dyDescent="0.25">
      <c r="A88" s="22" t="s">
        <v>1098</v>
      </c>
      <c r="B88" s="6" t="s">
        <v>653</v>
      </c>
      <c r="C88" s="6" t="s">
        <v>1099</v>
      </c>
      <c r="D88" s="6" t="s">
        <v>103</v>
      </c>
      <c r="E88" s="6" t="s">
        <v>113</v>
      </c>
      <c r="F88" s="6" t="s">
        <v>105</v>
      </c>
      <c r="G88" s="6" t="s">
        <v>80</v>
      </c>
      <c r="H88" s="6"/>
      <c r="I88" s="6" t="s">
        <v>688</v>
      </c>
      <c r="J88" s="6" t="s">
        <v>1100</v>
      </c>
      <c r="K88" s="6" t="s">
        <v>1101</v>
      </c>
      <c r="L88" s="23"/>
      <c r="M88" s="6" t="s">
        <v>33</v>
      </c>
      <c r="N88" s="6"/>
      <c r="O88" s="6"/>
      <c r="P88" s="24"/>
      <c r="Q88" s="6"/>
      <c r="R88" s="6"/>
      <c r="S88" s="6"/>
    </row>
    <row r="89" spans="1:19" x14ac:dyDescent="0.25">
      <c r="A89" s="22" t="s">
        <v>1102</v>
      </c>
      <c r="B89" s="6" t="s">
        <v>653</v>
      </c>
      <c r="C89" s="6" t="s">
        <v>1103</v>
      </c>
      <c r="D89" s="6" t="s">
        <v>209</v>
      </c>
      <c r="E89" s="6" t="s">
        <v>113</v>
      </c>
      <c r="F89" s="6" t="s">
        <v>105</v>
      </c>
      <c r="G89" s="6" t="s">
        <v>80</v>
      </c>
      <c r="H89" s="6"/>
      <c r="I89" s="6" t="s">
        <v>688</v>
      </c>
      <c r="J89" s="6" t="s">
        <v>1104</v>
      </c>
      <c r="K89" s="6" t="s">
        <v>1105</v>
      </c>
      <c r="L89" s="23"/>
      <c r="M89" s="6" t="s">
        <v>33</v>
      </c>
      <c r="N89" s="6"/>
      <c r="O89" s="6"/>
      <c r="P89" s="24"/>
      <c r="Q89" s="6"/>
      <c r="R89" s="6"/>
      <c r="S89" s="6"/>
    </row>
    <row r="90" spans="1:19" x14ac:dyDescent="0.25">
      <c r="A90" s="22" t="s">
        <v>1106</v>
      </c>
      <c r="B90" s="6" t="s">
        <v>653</v>
      </c>
      <c r="C90" s="6" t="s">
        <v>1107</v>
      </c>
      <c r="D90" s="6" t="s">
        <v>209</v>
      </c>
      <c r="E90" s="6" t="s">
        <v>113</v>
      </c>
      <c r="F90" s="6" t="s">
        <v>105</v>
      </c>
      <c r="G90" s="6" t="s">
        <v>80</v>
      </c>
      <c r="H90" s="6"/>
      <c r="I90" s="6" t="s">
        <v>1108</v>
      </c>
      <c r="J90" s="6" t="s">
        <v>1109</v>
      </c>
      <c r="K90" s="6" t="s">
        <v>1110</v>
      </c>
      <c r="L90" s="23"/>
      <c r="M90" s="6" t="s">
        <v>33</v>
      </c>
      <c r="N90" s="6"/>
      <c r="O90" s="6"/>
      <c r="P90" s="24"/>
      <c r="Q90" s="6"/>
      <c r="R90" s="6"/>
      <c r="S90" s="6"/>
    </row>
    <row r="91" spans="1:19" x14ac:dyDescent="0.25">
      <c r="A91" s="22" t="s">
        <v>1111</v>
      </c>
      <c r="B91" s="6" t="s">
        <v>663</v>
      </c>
      <c r="C91" s="6" t="s">
        <v>1112</v>
      </c>
      <c r="D91" s="6" t="s">
        <v>103</v>
      </c>
      <c r="E91" s="6" t="s">
        <v>145</v>
      </c>
      <c r="F91" s="6" t="s">
        <v>105</v>
      </c>
      <c r="G91" s="6" t="s">
        <v>80</v>
      </c>
      <c r="H91" s="6"/>
      <c r="I91" s="6" t="s">
        <v>688</v>
      </c>
      <c r="J91" s="6" t="s">
        <v>1113</v>
      </c>
      <c r="K91" s="6" t="s">
        <v>1114</v>
      </c>
      <c r="L91" s="23" t="s">
        <v>1115</v>
      </c>
      <c r="M91" s="6" t="s">
        <v>33</v>
      </c>
      <c r="N91" s="6"/>
      <c r="O91" s="6"/>
      <c r="P91" s="24"/>
      <c r="Q91" s="6"/>
      <c r="R91" s="6"/>
      <c r="S91" s="6"/>
    </row>
    <row r="92" spans="1:19" x14ac:dyDescent="0.25">
      <c r="A92" s="22" t="s">
        <v>1116</v>
      </c>
      <c r="B92" s="6" t="s">
        <v>663</v>
      </c>
      <c r="C92" s="6" t="s">
        <v>1117</v>
      </c>
      <c r="D92" s="6" t="s">
        <v>140</v>
      </c>
      <c r="E92" s="6" t="s">
        <v>145</v>
      </c>
      <c r="F92" s="6" t="s">
        <v>105</v>
      </c>
      <c r="G92" s="6" t="s">
        <v>80</v>
      </c>
      <c r="H92" s="6"/>
      <c r="I92" s="6" t="s">
        <v>1118</v>
      </c>
      <c r="J92" s="6" t="s">
        <v>1119</v>
      </c>
      <c r="K92" s="6" t="s">
        <v>1120</v>
      </c>
      <c r="L92" s="23" t="s">
        <v>1121</v>
      </c>
      <c r="M92" s="6" t="s">
        <v>33</v>
      </c>
      <c r="N92" s="6"/>
      <c r="O92" s="6"/>
      <c r="P92" s="24"/>
      <c r="Q92" s="6"/>
      <c r="R92" s="6"/>
      <c r="S92" s="6"/>
    </row>
    <row r="93" spans="1:19" x14ac:dyDescent="0.25">
      <c r="A93" s="22" t="s">
        <v>1122</v>
      </c>
      <c r="B93" s="6" t="s">
        <v>1023</v>
      </c>
      <c r="C93" s="6" t="s">
        <v>1123</v>
      </c>
      <c r="D93" s="6" t="s">
        <v>140</v>
      </c>
      <c r="E93" s="6" t="s">
        <v>113</v>
      </c>
      <c r="F93" s="6" t="s">
        <v>105</v>
      </c>
      <c r="G93" s="6" t="s">
        <v>80</v>
      </c>
      <c r="H93" s="6" t="s">
        <v>1124</v>
      </c>
      <c r="I93" s="6" t="s">
        <v>1125</v>
      </c>
      <c r="J93" s="6" t="s">
        <v>1126</v>
      </c>
      <c r="K93" s="6" t="s">
        <v>1127</v>
      </c>
      <c r="L93" s="23"/>
      <c r="M93" s="6" t="s">
        <v>33</v>
      </c>
      <c r="N93" s="6"/>
      <c r="O93" s="6"/>
      <c r="P93" s="24"/>
      <c r="Q93" s="6"/>
      <c r="R93" s="6"/>
      <c r="S93" s="6"/>
    </row>
  </sheetData>
  <autoFilter ref="A1:S1"/>
  <conditionalFormatting sqref="M2:M2000">
    <cfRule type="cellIs" dxfId="8" priority="1" operator="equal">
      <formula>"Pass"</formula>
    </cfRule>
    <cfRule type="cellIs" dxfId="9" priority="2" operator="equal">
      <formula>"Fail"</formula>
    </cfRule>
    <cfRule type="cellIs" dxfId="10" priority="3" operator="equal">
      <formula>"Blocked"</formula>
    </cfRule>
    <cfRule type="cellIs" dxfId="11" priority="4" operator="equal">
      <formula>"N/A"</formula>
    </cfRule>
  </conditionalFormatting>
  <dataValidations count="6">
    <dataValidation type="list" allowBlank="1" showErrorMessage="1" errorStyle="stop" errorTitle="Round" error="Choose one of: Round 1 (before the SAO opens a semester), Round 2 (after the SAO activates a semester), Any time" sqref="G10:G93">
      <formula1>"Round 1 (before the SAO opens a semester),Round 2 (after the SAO activates a semester),Any time"</formula1>
    </dataValidation>
    <dataValidation type="list" allowBlank="1" showErrorMessage="1" errorStyle="stop" errorTitle="Round" error="Choose one of: Round 1 (before the SAO opens a semester), Round 2 (after the SAO activates a semester), Any time" sqref="G2:G93">
      <formula1>"Round 1 (before the SAO opens a semester),Round 2 (after the SAO activates a semester),Any time"</formula1>
    </dataValidation>
    <dataValidation type="list" showErrorMessage="1" errorStyle="stop" errorTitle="Status" error="Choose one of: Not run, Pass, Fail, Blocked, N/A" sqref="M10:M93">
      <formula1>"Not run,Pass,Fail,Blocked,N/A"</formula1>
    </dataValidation>
    <dataValidation type="list" showErrorMessage="1" errorStyle="stop" errorTitle="Status" error="Choose one of: Not run, Pass, Fail, Blocked, N/A" sqref="M2:M93">
      <formula1>"Not run,Pass,Fail,Blocked,N/A"</formula1>
    </dataValidation>
    <dataValidation type="list" allowBlank="1" showErrorMessage="1" errorStyle="stop" errorTitle="Severity" error="Choose one of: Critical, Major, Minor, Cosmetic" sqref="N10:N93">
      <formula1>"Critical,Major,Minor,Cosmetic"</formula1>
    </dataValidation>
    <dataValidation type="list" allowBlank="1" showErrorMessage="1" errorStyle="stop" errorTitle="Severity" error="Choose one of: Critical, Major, Minor, Cosmetic" sqref="N2:N93">
      <formula1>"Critical,Major,Minor,Cosmetic"</formula1>
    </dataValidation>
  </dataValidations>
  <pageSetup paperSize="9"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44"/>
  <sheetViews>
    <sheetView workbookViewId="0">
      <pane xSplit="3" ySplit="1" topLeftCell="D2" activePane="bottomRight" state="frozen"/>
      <selection pane="bottomRight"/>
    </sheetView>
  </sheetViews>
  <sheetFormatPr defaultRowHeight="15" outlineLevelRow="0" outlineLevelCol="0" x14ac:dyDescent="55"/>
  <cols>
    <col min="1" max="1" width="12" customWidth="1"/>
    <col min="2" max="2" width="20" customWidth="1"/>
    <col min="3" max="3" width="38" customWidth="1"/>
    <col min="4" max="4" width="13" customWidth="1"/>
    <col min="5" max="5" width="10" customWidth="1"/>
    <col min="6" max="6" width="12" customWidth="1"/>
    <col min="7" max="7" width="24" customWidth="1"/>
    <col min="8" max="8" width="16" customWidth="1"/>
    <col min="9" max="9" width="34" customWidth="1"/>
    <col min="10" max="10" width="52" customWidth="1"/>
    <col min="11" max="11" width="40" customWidth="1"/>
    <col min="12" max="12" width="36" customWidth="1"/>
    <col min="13" max="14" width="12" customWidth="1"/>
    <col min="15" max="15" width="18" customWidth="1"/>
    <col min="16" max="16" width="13" customWidth="1"/>
    <col min="17" max="17" width="24" customWidth="1"/>
    <col min="18" max="18" width="44" customWidth="1"/>
    <col min="19" max="19" width="30" customWidth="1"/>
  </cols>
  <sheetData>
    <row r="1" ht="30" customHeight="1" spans="1:19" x14ac:dyDescent="0.25">
      <c r="A1" s="13" t="s">
        <v>82</v>
      </c>
      <c r="B1" s="13" t="s">
        <v>83</v>
      </c>
      <c r="C1" s="13" t="s">
        <v>84</v>
      </c>
      <c r="D1" s="13" t="s">
        <v>85</v>
      </c>
      <c r="E1" s="13" t="s">
        <v>86</v>
      </c>
      <c r="F1" s="13" t="s">
        <v>87</v>
      </c>
      <c r="G1" s="13" t="s">
        <v>77</v>
      </c>
      <c r="H1" s="13" t="s">
        <v>88</v>
      </c>
      <c r="I1" s="13" t="s">
        <v>89</v>
      </c>
      <c r="J1" s="13" t="s">
        <v>90</v>
      </c>
      <c r="K1" s="13" t="s">
        <v>91</v>
      </c>
      <c r="L1" s="13" t="s">
        <v>92</v>
      </c>
      <c r="M1" s="5" t="s">
        <v>93</v>
      </c>
      <c r="N1" s="5" t="s">
        <v>94</v>
      </c>
      <c r="O1" s="5" t="s">
        <v>95</v>
      </c>
      <c r="P1" s="5" t="s">
        <v>96</v>
      </c>
      <c r="Q1" s="5" t="s">
        <v>97</v>
      </c>
      <c r="R1" s="5" t="s">
        <v>98</v>
      </c>
      <c r="S1" s="5" t="s">
        <v>99</v>
      </c>
    </row>
    <row r="2" spans="1:19" x14ac:dyDescent="0.25">
      <c r="A2" s="22" t="s">
        <v>1128</v>
      </c>
      <c r="B2" s="6" t="s">
        <v>1129</v>
      </c>
      <c r="C2" s="6" t="s">
        <v>1130</v>
      </c>
      <c r="D2" s="6" t="s">
        <v>103</v>
      </c>
      <c r="E2" s="6" t="s">
        <v>104</v>
      </c>
      <c r="F2" s="6" t="s">
        <v>105</v>
      </c>
      <c r="G2" s="6" t="s">
        <v>80</v>
      </c>
      <c r="H2" s="6"/>
      <c r="I2" s="6" t="s">
        <v>1131</v>
      </c>
      <c r="J2" s="6" t="s">
        <v>1132</v>
      </c>
      <c r="K2" s="6" t="s">
        <v>1133</v>
      </c>
      <c r="L2" s="23"/>
      <c r="M2" s="6" t="s">
        <v>33</v>
      </c>
      <c r="N2" s="6"/>
      <c r="O2" s="6"/>
      <c r="P2" s="24"/>
      <c r="Q2" s="6"/>
      <c r="R2" s="6"/>
      <c r="S2" s="6"/>
    </row>
    <row r="3" spans="1:19" x14ac:dyDescent="0.25">
      <c r="A3" s="22" t="s">
        <v>1134</v>
      </c>
      <c r="B3" s="6" t="s">
        <v>1135</v>
      </c>
      <c r="C3" s="6" t="s">
        <v>1136</v>
      </c>
      <c r="D3" s="6" t="s">
        <v>140</v>
      </c>
      <c r="E3" s="6" t="s">
        <v>104</v>
      </c>
      <c r="F3" s="6" t="s">
        <v>105</v>
      </c>
      <c r="G3" s="6" t="s">
        <v>80</v>
      </c>
      <c r="H3" s="6"/>
      <c r="I3" s="6" t="s">
        <v>1137</v>
      </c>
      <c r="J3" s="6" t="s">
        <v>1138</v>
      </c>
      <c r="K3" s="6" t="s">
        <v>1139</v>
      </c>
      <c r="L3" s="23" t="s">
        <v>1140</v>
      </c>
      <c r="M3" s="6" t="s">
        <v>33</v>
      </c>
      <c r="N3" s="6"/>
      <c r="O3" s="6"/>
      <c r="P3" s="24"/>
      <c r="Q3" s="6"/>
      <c r="R3" s="6"/>
      <c r="S3" s="6"/>
    </row>
    <row r="4" spans="1:19" x14ac:dyDescent="0.25">
      <c r="A4" s="22" t="s">
        <v>1141</v>
      </c>
      <c r="B4" s="6" t="s">
        <v>686</v>
      </c>
      <c r="C4" s="6" t="s">
        <v>1142</v>
      </c>
      <c r="D4" s="6" t="s">
        <v>120</v>
      </c>
      <c r="E4" s="6" t="s">
        <v>104</v>
      </c>
      <c r="F4" s="6" t="s">
        <v>121</v>
      </c>
      <c r="G4" s="6" t="s">
        <v>80</v>
      </c>
      <c r="H4" s="6"/>
      <c r="I4" s="6" t="s">
        <v>1143</v>
      </c>
      <c r="J4" s="6" t="s">
        <v>1144</v>
      </c>
      <c r="K4" s="6" t="s">
        <v>1145</v>
      </c>
      <c r="L4" s="23"/>
      <c r="M4" s="6" t="s">
        <v>33</v>
      </c>
      <c r="N4" s="6"/>
      <c r="O4" s="6"/>
      <c r="P4" s="24"/>
      <c r="Q4" s="6"/>
      <c r="R4" s="6"/>
      <c r="S4" s="6"/>
    </row>
    <row r="5" spans="1:19" x14ac:dyDescent="0.25">
      <c r="A5" s="22" t="s">
        <v>1146</v>
      </c>
      <c r="B5" s="6" t="s">
        <v>686</v>
      </c>
      <c r="C5" s="6" t="s">
        <v>1147</v>
      </c>
      <c r="D5" s="6" t="s">
        <v>120</v>
      </c>
      <c r="E5" s="6" t="s">
        <v>104</v>
      </c>
      <c r="F5" s="6" t="s">
        <v>127</v>
      </c>
      <c r="G5" s="6" t="s">
        <v>80</v>
      </c>
      <c r="H5" s="6"/>
      <c r="I5" s="6" t="s">
        <v>1148</v>
      </c>
      <c r="J5" s="6" t="s">
        <v>1149</v>
      </c>
      <c r="K5" s="6" t="s">
        <v>1150</v>
      </c>
      <c r="L5" s="23"/>
      <c r="M5" s="6" t="s">
        <v>33</v>
      </c>
      <c r="N5" s="6"/>
      <c r="O5" s="6"/>
      <c r="P5" s="24"/>
      <c r="Q5" s="6"/>
      <c r="R5" s="6"/>
      <c r="S5" s="6"/>
    </row>
    <row r="6" spans="1:19" x14ac:dyDescent="0.25">
      <c r="A6" s="22" t="s">
        <v>1151</v>
      </c>
      <c r="B6" s="6" t="s">
        <v>164</v>
      </c>
      <c r="C6" s="6" t="s">
        <v>1152</v>
      </c>
      <c r="D6" s="6" t="s">
        <v>103</v>
      </c>
      <c r="E6" s="6" t="s">
        <v>113</v>
      </c>
      <c r="F6" s="6" t="s">
        <v>105</v>
      </c>
      <c r="G6" s="6" t="s">
        <v>78</v>
      </c>
      <c r="H6" s="6"/>
      <c r="I6" s="6" t="s">
        <v>1153</v>
      </c>
      <c r="J6" s="6" t="s">
        <v>1154</v>
      </c>
      <c r="K6" s="6" t="s">
        <v>1155</v>
      </c>
      <c r="L6" s="23"/>
      <c r="M6" s="6" t="s">
        <v>33</v>
      </c>
      <c r="N6" s="6"/>
      <c r="O6" s="6"/>
      <c r="P6" s="24"/>
      <c r="Q6" s="6"/>
      <c r="R6" s="6"/>
      <c r="S6" s="6"/>
    </row>
    <row r="7" spans="1:19" x14ac:dyDescent="0.25">
      <c r="A7" s="22" t="s">
        <v>1156</v>
      </c>
      <c r="B7" s="6" t="s">
        <v>164</v>
      </c>
      <c r="C7" s="6" t="s">
        <v>1157</v>
      </c>
      <c r="D7" s="6" t="s">
        <v>120</v>
      </c>
      <c r="E7" s="6" t="s">
        <v>113</v>
      </c>
      <c r="F7" s="6" t="s">
        <v>105</v>
      </c>
      <c r="G7" s="6" t="s">
        <v>80</v>
      </c>
      <c r="H7" s="6"/>
      <c r="I7" s="6" t="s">
        <v>1158</v>
      </c>
      <c r="J7" s="6" t="s">
        <v>1159</v>
      </c>
      <c r="K7" s="6" t="s">
        <v>1160</v>
      </c>
      <c r="L7" s="23"/>
      <c r="M7" s="6" t="s">
        <v>33</v>
      </c>
      <c r="N7" s="6"/>
      <c r="O7" s="6"/>
      <c r="P7" s="24"/>
      <c r="Q7" s="6"/>
      <c r="R7" s="6"/>
      <c r="S7" s="6"/>
    </row>
    <row r="8" spans="1:19" x14ac:dyDescent="0.25">
      <c r="A8" s="22" t="s">
        <v>1161</v>
      </c>
      <c r="B8" s="6" t="s">
        <v>164</v>
      </c>
      <c r="C8" s="6" t="s">
        <v>1162</v>
      </c>
      <c r="D8" s="6" t="s">
        <v>103</v>
      </c>
      <c r="E8" s="6" t="s">
        <v>113</v>
      </c>
      <c r="F8" s="6" t="s">
        <v>105</v>
      </c>
      <c r="G8" s="6" t="s">
        <v>80</v>
      </c>
      <c r="H8" s="6"/>
      <c r="I8" s="6" t="s">
        <v>1163</v>
      </c>
      <c r="J8" s="6" t="s">
        <v>1164</v>
      </c>
      <c r="K8" s="6" t="s">
        <v>1165</v>
      </c>
      <c r="L8" s="23"/>
      <c r="M8" s="6" t="s">
        <v>33</v>
      </c>
      <c r="N8" s="6"/>
      <c r="O8" s="6"/>
      <c r="P8" s="24"/>
      <c r="Q8" s="6"/>
      <c r="R8" s="6"/>
      <c r="S8" s="6"/>
    </row>
    <row r="9" spans="1:19" x14ac:dyDescent="0.25">
      <c r="A9" s="22" t="s">
        <v>1166</v>
      </c>
      <c r="B9" s="6" t="s">
        <v>164</v>
      </c>
      <c r="C9" s="6" t="s">
        <v>1167</v>
      </c>
      <c r="D9" s="6" t="s">
        <v>103</v>
      </c>
      <c r="E9" s="6" t="s">
        <v>145</v>
      </c>
      <c r="F9" s="6" t="s">
        <v>105</v>
      </c>
      <c r="G9" s="6" t="s">
        <v>80</v>
      </c>
      <c r="H9" s="6"/>
      <c r="I9" s="6" t="s">
        <v>1143</v>
      </c>
      <c r="J9" s="6" t="s">
        <v>1168</v>
      </c>
      <c r="K9" s="6" t="s">
        <v>1169</v>
      </c>
      <c r="L9" s="23"/>
      <c r="M9" s="6" t="s">
        <v>33</v>
      </c>
      <c r="N9" s="6"/>
      <c r="O9" s="6"/>
      <c r="P9" s="24"/>
      <c r="Q9" s="6"/>
      <c r="R9" s="6"/>
      <c r="S9" s="6"/>
    </row>
    <row r="10" spans="1:19" x14ac:dyDescent="0.25">
      <c r="A10" s="22" t="s">
        <v>1170</v>
      </c>
      <c r="B10" s="6" t="s">
        <v>164</v>
      </c>
      <c r="C10" s="6" t="s">
        <v>1171</v>
      </c>
      <c r="D10" s="6" t="s">
        <v>103</v>
      </c>
      <c r="E10" s="6" t="s">
        <v>145</v>
      </c>
      <c r="F10" s="6" t="s">
        <v>105</v>
      </c>
      <c r="G10" s="6" t="s">
        <v>80</v>
      </c>
      <c r="H10" s="6"/>
      <c r="I10" s="6" t="s">
        <v>1143</v>
      </c>
      <c r="J10" s="6" t="s">
        <v>1172</v>
      </c>
      <c r="K10" s="6" t="s">
        <v>1173</v>
      </c>
      <c r="L10" s="23"/>
      <c r="M10" s="6" t="s">
        <v>33</v>
      </c>
      <c r="N10" s="6"/>
      <c r="O10" s="6"/>
      <c r="P10" s="24"/>
      <c r="Q10" s="6"/>
      <c r="R10" s="6"/>
      <c r="S10" s="6"/>
    </row>
    <row r="11" spans="1:19" x14ac:dyDescent="0.25">
      <c r="A11" s="22" t="s">
        <v>1174</v>
      </c>
      <c r="B11" s="6" t="s">
        <v>140</v>
      </c>
      <c r="C11" s="6" t="s">
        <v>1175</v>
      </c>
      <c r="D11" s="6" t="s">
        <v>140</v>
      </c>
      <c r="E11" s="6" t="s">
        <v>104</v>
      </c>
      <c r="F11" s="6" t="s">
        <v>105</v>
      </c>
      <c r="G11" s="6" t="s">
        <v>80</v>
      </c>
      <c r="H11" s="6"/>
      <c r="I11" s="6" t="s">
        <v>1143</v>
      </c>
      <c r="J11" s="6" t="s">
        <v>1176</v>
      </c>
      <c r="K11" s="6" t="s">
        <v>1177</v>
      </c>
      <c r="L11" s="23" t="s">
        <v>1178</v>
      </c>
      <c r="M11" s="6" t="s">
        <v>33</v>
      </c>
      <c r="N11" s="6"/>
      <c r="O11" s="6"/>
      <c r="P11" s="24"/>
      <c r="Q11" s="6"/>
      <c r="R11" s="6"/>
      <c r="S11" s="6"/>
    </row>
    <row r="12" spans="1:19" x14ac:dyDescent="0.25">
      <c r="A12" s="22" t="s">
        <v>1179</v>
      </c>
      <c r="B12" s="6" t="s">
        <v>140</v>
      </c>
      <c r="C12" s="6" t="s">
        <v>1180</v>
      </c>
      <c r="D12" s="6" t="s">
        <v>140</v>
      </c>
      <c r="E12" s="6" t="s">
        <v>104</v>
      </c>
      <c r="F12" s="6" t="s">
        <v>105</v>
      </c>
      <c r="G12" s="6" t="s">
        <v>80</v>
      </c>
      <c r="H12" s="6"/>
      <c r="I12" s="6" t="s">
        <v>1143</v>
      </c>
      <c r="J12" s="6" t="s">
        <v>1181</v>
      </c>
      <c r="K12" s="6" t="s">
        <v>1182</v>
      </c>
      <c r="L12" s="23" t="s">
        <v>1183</v>
      </c>
      <c r="M12" s="6" t="s">
        <v>33</v>
      </c>
      <c r="N12" s="6"/>
      <c r="O12" s="6"/>
      <c r="P12" s="24"/>
      <c r="Q12" s="6"/>
      <c r="R12" s="6"/>
      <c r="S12" s="6"/>
    </row>
    <row r="13" spans="1:19" x14ac:dyDescent="0.25">
      <c r="A13" s="22" t="s">
        <v>1184</v>
      </c>
      <c r="B13" s="6" t="s">
        <v>140</v>
      </c>
      <c r="C13" s="6" t="s">
        <v>1185</v>
      </c>
      <c r="D13" s="6" t="s">
        <v>140</v>
      </c>
      <c r="E13" s="6" t="s">
        <v>104</v>
      </c>
      <c r="F13" s="6" t="s">
        <v>105</v>
      </c>
      <c r="G13" s="6" t="s">
        <v>80</v>
      </c>
      <c r="H13" s="6"/>
      <c r="I13" s="6" t="s">
        <v>1143</v>
      </c>
      <c r="J13" s="6" t="s">
        <v>1186</v>
      </c>
      <c r="K13" s="6" t="s">
        <v>1187</v>
      </c>
      <c r="L13" s="23"/>
      <c r="M13" s="6" t="s">
        <v>33</v>
      </c>
      <c r="N13" s="6"/>
      <c r="O13" s="6"/>
      <c r="P13" s="24"/>
      <c r="Q13" s="6"/>
      <c r="R13" s="6"/>
      <c r="S13" s="6"/>
    </row>
    <row r="14" spans="1:19" x14ac:dyDescent="0.25">
      <c r="A14" s="22" t="s">
        <v>1188</v>
      </c>
      <c r="B14" s="6" t="s">
        <v>140</v>
      </c>
      <c r="C14" s="6" t="s">
        <v>1189</v>
      </c>
      <c r="D14" s="6" t="s">
        <v>112</v>
      </c>
      <c r="E14" s="6" t="s">
        <v>113</v>
      </c>
      <c r="F14" s="6" t="s">
        <v>121</v>
      </c>
      <c r="G14" s="6" t="s">
        <v>80</v>
      </c>
      <c r="H14" s="6"/>
      <c r="I14" s="6" t="s">
        <v>1143</v>
      </c>
      <c r="J14" s="6" t="s">
        <v>1190</v>
      </c>
      <c r="K14" s="6" t="s">
        <v>1191</v>
      </c>
      <c r="L14" s="23"/>
      <c r="M14" s="6" t="s">
        <v>33</v>
      </c>
      <c r="N14" s="6"/>
      <c r="O14" s="6"/>
      <c r="P14" s="24"/>
      <c r="Q14" s="6"/>
      <c r="R14" s="6"/>
      <c r="S14" s="6"/>
    </row>
    <row r="15" spans="1:19" x14ac:dyDescent="0.25">
      <c r="A15" s="22" t="s">
        <v>1192</v>
      </c>
      <c r="B15" s="6" t="s">
        <v>1193</v>
      </c>
      <c r="C15" s="6" t="s">
        <v>1194</v>
      </c>
      <c r="D15" s="6" t="s">
        <v>103</v>
      </c>
      <c r="E15" s="6" t="s">
        <v>104</v>
      </c>
      <c r="F15" s="6" t="s">
        <v>121</v>
      </c>
      <c r="G15" s="6" t="s">
        <v>80</v>
      </c>
      <c r="H15" s="6"/>
      <c r="I15" s="6" t="s">
        <v>1143</v>
      </c>
      <c r="J15" s="6" t="s">
        <v>1195</v>
      </c>
      <c r="K15" s="6" t="s">
        <v>1196</v>
      </c>
      <c r="L15" s="23"/>
      <c r="M15" s="6" t="s">
        <v>33</v>
      </c>
      <c r="N15" s="6"/>
      <c r="O15" s="6"/>
      <c r="P15" s="24"/>
      <c r="Q15" s="6"/>
      <c r="R15" s="6"/>
      <c r="S15" s="6"/>
    </row>
    <row r="16" spans="1:19" x14ac:dyDescent="0.25">
      <c r="A16" s="22" t="s">
        <v>1197</v>
      </c>
      <c r="B16" s="6" t="s">
        <v>1193</v>
      </c>
      <c r="C16" s="6" t="s">
        <v>1198</v>
      </c>
      <c r="D16" s="6" t="s">
        <v>103</v>
      </c>
      <c r="E16" s="6" t="s">
        <v>104</v>
      </c>
      <c r="F16" s="6" t="s">
        <v>105</v>
      </c>
      <c r="G16" s="6" t="s">
        <v>80</v>
      </c>
      <c r="H16" s="6"/>
      <c r="I16" s="6" t="s">
        <v>1143</v>
      </c>
      <c r="J16" s="6" t="s">
        <v>1199</v>
      </c>
      <c r="K16" s="6" t="s">
        <v>1200</v>
      </c>
      <c r="L16" s="23"/>
      <c r="M16" s="6" t="s">
        <v>33</v>
      </c>
      <c r="N16" s="6"/>
      <c r="O16" s="6"/>
      <c r="P16" s="24"/>
      <c r="Q16" s="6"/>
      <c r="R16" s="6"/>
      <c r="S16" s="6"/>
    </row>
    <row r="17" spans="1:19" x14ac:dyDescent="0.25">
      <c r="A17" s="22" t="s">
        <v>1201</v>
      </c>
      <c r="B17" s="6" t="s">
        <v>1193</v>
      </c>
      <c r="C17" s="6" t="s">
        <v>1202</v>
      </c>
      <c r="D17" s="6" t="s">
        <v>103</v>
      </c>
      <c r="E17" s="6" t="s">
        <v>113</v>
      </c>
      <c r="F17" s="6" t="s">
        <v>105</v>
      </c>
      <c r="G17" s="6" t="s">
        <v>80</v>
      </c>
      <c r="H17" s="6"/>
      <c r="I17" s="6" t="s">
        <v>1143</v>
      </c>
      <c r="J17" s="6" t="s">
        <v>1203</v>
      </c>
      <c r="K17" s="6" t="s">
        <v>1204</v>
      </c>
      <c r="L17" s="23"/>
      <c r="M17" s="6" t="s">
        <v>33</v>
      </c>
      <c r="N17" s="6"/>
      <c r="O17" s="6"/>
      <c r="P17" s="24"/>
      <c r="Q17" s="6"/>
      <c r="R17" s="6"/>
      <c r="S17" s="6"/>
    </row>
    <row r="18" spans="1:19" x14ac:dyDescent="0.25">
      <c r="A18" s="22" t="s">
        <v>1205</v>
      </c>
      <c r="B18" s="6" t="s">
        <v>1193</v>
      </c>
      <c r="C18" s="6" t="s">
        <v>1206</v>
      </c>
      <c r="D18" s="6" t="s">
        <v>103</v>
      </c>
      <c r="E18" s="6" t="s">
        <v>113</v>
      </c>
      <c r="F18" s="6" t="s">
        <v>121</v>
      </c>
      <c r="G18" s="6" t="s">
        <v>80</v>
      </c>
      <c r="H18" s="6"/>
      <c r="I18" s="6" t="s">
        <v>1207</v>
      </c>
      <c r="J18" s="6" t="s">
        <v>1208</v>
      </c>
      <c r="K18" s="6" t="s">
        <v>1209</v>
      </c>
      <c r="L18" s="23"/>
      <c r="M18" s="6" t="s">
        <v>33</v>
      </c>
      <c r="N18" s="6"/>
      <c r="O18" s="6"/>
      <c r="P18" s="24"/>
      <c r="Q18" s="6"/>
      <c r="R18" s="6"/>
      <c r="S18" s="6"/>
    </row>
    <row r="19" spans="1:19" x14ac:dyDescent="0.25">
      <c r="A19" s="22" t="s">
        <v>1210</v>
      </c>
      <c r="B19" s="6" t="s">
        <v>1193</v>
      </c>
      <c r="C19" s="6" t="s">
        <v>1211</v>
      </c>
      <c r="D19" s="6" t="s">
        <v>103</v>
      </c>
      <c r="E19" s="6" t="s">
        <v>145</v>
      </c>
      <c r="F19" s="6" t="s">
        <v>105</v>
      </c>
      <c r="G19" s="6" t="s">
        <v>80</v>
      </c>
      <c r="H19" s="6"/>
      <c r="I19" s="6" t="s">
        <v>1212</v>
      </c>
      <c r="J19" s="6" t="s">
        <v>1213</v>
      </c>
      <c r="K19" s="6" t="s">
        <v>1214</v>
      </c>
      <c r="L19" s="23"/>
      <c r="M19" s="6" t="s">
        <v>33</v>
      </c>
      <c r="N19" s="6"/>
      <c r="O19" s="6"/>
      <c r="P19" s="24"/>
      <c r="Q19" s="6"/>
      <c r="R19" s="6"/>
      <c r="S19" s="6"/>
    </row>
    <row r="20" spans="1:19" x14ac:dyDescent="0.25">
      <c r="A20" s="22" t="s">
        <v>1215</v>
      </c>
      <c r="B20" s="6" t="s">
        <v>1193</v>
      </c>
      <c r="C20" s="6" t="s">
        <v>1216</v>
      </c>
      <c r="D20" s="6" t="s">
        <v>103</v>
      </c>
      <c r="E20" s="6" t="s">
        <v>104</v>
      </c>
      <c r="F20" s="6" t="s">
        <v>105</v>
      </c>
      <c r="G20" s="6" t="s">
        <v>80</v>
      </c>
      <c r="H20" s="6"/>
      <c r="I20" s="6" t="s">
        <v>1217</v>
      </c>
      <c r="J20" s="6" t="s">
        <v>1218</v>
      </c>
      <c r="K20" s="6" t="s">
        <v>1219</v>
      </c>
      <c r="L20" s="23"/>
      <c r="M20" s="6" t="s">
        <v>33</v>
      </c>
      <c r="N20" s="6"/>
      <c r="O20" s="6"/>
      <c r="P20" s="24"/>
      <c r="Q20" s="6"/>
      <c r="R20" s="6"/>
      <c r="S20" s="6"/>
    </row>
    <row r="21" spans="1:19" x14ac:dyDescent="0.25">
      <c r="A21" s="22" t="s">
        <v>1220</v>
      </c>
      <c r="B21" s="6" t="s">
        <v>1193</v>
      </c>
      <c r="C21" s="6" t="s">
        <v>1221</v>
      </c>
      <c r="D21" s="6" t="s">
        <v>120</v>
      </c>
      <c r="E21" s="6" t="s">
        <v>113</v>
      </c>
      <c r="F21" s="6" t="s">
        <v>121</v>
      </c>
      <c r="G21" s="6" t="s">
        <v>80</v>
      </c>
      <c r="H21" s="6"/>
      <c r="I21" s="6" t="s">
        <v>1143</v>
      </c>
      <c r="J21" s="6" t="s">
        <v>1222</v>
      </c>
      <c r="K21" s="6" t="s">
        <v>1223</v>
      </c>
      <c r="L21" s="23"/>
      <c r="M21" s="6" t="s">
        <v>33</v>
      </c>
      <c r="N21" s="6"/>
      <c r="O21" s="6"/>
      <c r="P21" s="24"/>
      <c r="Q21" s="6"/>
      <c r="R21" s="6"/>
      <c r="S21" s="6"/>
    </row>
    <row r="22" spans="1:19" x14ac:dyDescent="0.25">
      <c r="A22" s="22" t="s">
        <v>1224</v>
      </c>
      <c r="B22" s="6" t="s">
        <v>1193</v>
      </c>
      <c r="C22" s="6" t="s">
        <v>1225</v>
      </c>
      <c r="D22" s="6" t="s">
        <v>209</v>
      </c>
      <c r="E22" s="6" t="s">
        <v>104</v>
      </c>
      <c r="F22" s="6" t="s">
        <v>105</v>
      </c>
      <c r="G22" s="6" t="s">
        <v>80</v>
      </c>
      <c r="H22" s="6"/>
      <c r="I22" s="6" t="s">
        <v>1143</v>
      </c>
      <c r="J22" s="6" t="s">
        <v>1226</v>
      </c>
      <c r="K22" s="6" t="s">
        <v>1227</v>
      </c>
      <c r="L22" s="23"/>
      <c r="M22" s="6" t="s">
        <v>33</v>
      </c>
      <c r="N22" s="6"/>
      <c r="O22" s="6"/>
      <c r="P22" s="24"/>
      <c r="Q22" s="6"/>
      <c r="R22" s="6"/>
      <c r="S22" s="6"/>
    </row>
    <row r="23" spans="1:19" x14ac:dyDescent="0.25">
      <c r="A23" s="22" t="s">
        <v>1228</v>
      </c>
      <c r="B23" s="6" t="s">
        <v>1193</v>
      </c>
      <c r="C23" s="6" t="s">
        <v>1229</v>
      </c>
      <c r="D23" s="6" t="s">
        <v>209</v>
      </c>
      <c r="E23" s="6" t="s">
        <v>104</v>
      </c>
      <c r="F23" s="6" t="s">
        <v>105</v>
      </c>
      <c r="G23" s="6" t="s">
        <v>80</v>
      </c>
      <c r="H23" s="6"/>
      <c r="I23" s="6" t="s">
        <v>1143</v>
      </c>
      <c r="J23" s="6" t="s">
        <v>1230</v>
      </c>
      <c r="K23" s="6" t="s">
        <v>1231</v>
      </c>
      <c r="L23" s="23" t="s">
        <v>1232</v>
      </c>
      <c r="M23" s="6" t="s">
        <v>33</v>
      </c>
      <c r="N23" s="6"/>
      <c r="O23" s="6"/>
      <c r="P23" s="24"/>
      <c r="Q23" s="6"/>
      <c r="R23" s="6"/>
      <c r="S23" s="6"/>
    </row>
    <row r="24" spans="1:19" x14ac:dyDescent="0.25">
      <c r="A24" s="22" t="s">
        <v>1233</v>
      </c>
      <c r="B24" s="6" t="s">
        <v>1193</v>
      </c>
      <c r="C24" s="6" t="s">
        <v>1234</v>
      </c>
      <c r="D24" s="6" t="s">
        <v>209</v>
      </c>
      <c r="E24" s="6" t="s">
        <v>113</v>
      </c>
      <c r="F24" s="6" t="s">
        <v>105</v>
      </c>
      <c r="G24" s="6" t="s">
        <v>80</v>
      </c>
      <c r="H24" s="6"/>
      <c r="I24" s="6" t="s">
        <v>1143</v>
      </c>
      <c r="J24" s="6" t="s">
        <v>1235</v>
      </c>
      <c r="K24" s="6" t="s">
        <v>1236</v>
      </c>
      <c r="L24" s="23" t="s">
        <v>1237</v>
      </c>
      <c r="M24" s="6" t="s">
        <v>33</v>
      </c>
      <c r="N24" s="6"/>
      <c r="O24" s="6"/>
      <c r="P24" s="24"/>
      <c r="Q24" s="6"/>
      <c r="R24" s="6"/>
      <c r="S24" s="6"/>
    </row>
    <row r="25" spans="1:19" x14ac:dyDescent="0.25">
      <c r="A25" s="22" t="s">
        <v>1238</v>
      </c>
      <c r="B25" s="6" t="s">
        <v>1193</v>
      </c>
      <c r="C25" s="6" t="s">
        <v>1239</v>
      </c>
      <c r="D25" s="6" t="s">
        <v>103</v>
      </c>
      <c r="E25" s="6" t="s">
        <v>113</v>
      </c>
      <c r="F25" s="6" t="s">
        <v>105</v>
      </c>
      <c r="G25" s="6" t="s">
        <v>80</v>
      </c>
      <c r="H25" s="6"/>
      <c r="I25" s="6" t="s">
        <v>1240</v>
      </c>
      <c r="J25" s="6" t="s">
        <v>1241</v>
      </c>
      <c r="K25" s="6" t="s">
        <v>1242</v>
      </c>
      <c r="L25" s="23"/>
      <c r="M25" s="6" t="s">
        <v>33</v>
      </c>
      <c r="N25" s="6"/>
      <c r="O25" s="6"/>
      <c r="P25" s="24"/>
      <c r="Q25" s="6"/>
      <c r="R25" s="6"/>
      <c r="S25" s="6"/>
    </row>
    <row r="26" spans="1:19" x14ac:dyDescent="0.25">
      <c r="A26" s="22" t="s">
        <v>1243</v>
      </c>
      <c r="B26" s="6" t="s">
        <v>1193</v>
      </c>
      <c r="C26" s="6" t="s">
        <v>1244</v>
      </c>
      <c r="D26" s="6" t="s">
        <v>140</v>
      </c>
      <c r="E26" s="6" t="s">
        <v>104</v>
      </c>
      <c r="F26" s="6" t="s">
        <v>105</v>
      </c>
      <c r="G26" s="6" t="s">
        <v>80</v>
      </c>
      <c r="H26" s="6"/>
      <c r="I26" s="6" t="s">
        <v>1143</v>
      </c>
      <c r="J26" s="6" t="s">
        <v>1245</v>
      </c>
      <c r="K26" s="6" t="s">
        <v>1246</v>
      </c>
      <c r="L26" s="23"/>
      <c r="M26" s="6" t="s">
        <v>33</v>
      </c>
      <c r="N26" s="6"/>
      <c r="O26" s="6"/>
      <c r="P26" s="24"/>
      <c r="Q26" s="6"/>
      <c r="R26" s="6"/>
      <c r="S26" s="6"/>
    </row>
    <row r="27" spans="1:19" x14ac:dyDescent="0.25">
      <c r="A27" s="22" t="s">
        <v>1247</v>
      </c>
      <c r="B27" s="6" t="s">
        <v>1193</v>
      </c>
      <c r="C27" s="6" t="s">
        <v>1248</v>
      </c>
      <c r="D27" s="6" t="s">
        <v>209</v>
      </c>
      <c r="E27" s="6" t="s">
        <v>145</v>
      </c>
      <c r="F27" s="6" t="s">
        <v>105</v>
      </c>
      <c r="G27" s="6" t="s">
        <v>80</v>
      </c>
      <c r="H27" s="6"/>
      <c r="I27" s="6" t="s">
        <v>1249</v>
      </c>
      <c r="J27" s="6" t="s">
        <v>1250</v>
      </c>
      <c r="K27" s="6" t="s">
        <v>1251</v>
      </c>
      <c r="L27" s="23"/>
      <c r="M27" s="6" t="s">
        <v>33</v>
      </c>
      <c r="N27" s="6"/>
      <c r="O27" s="6"/>
      <c r="P27" s="24"/>
      <c r="Q27" s="6"/>
      <c r="R27" s="6"/>
      <c r="S27" s="6"/>
    </row>
    <row r="28" spans="1:19" x14ac:dyDescent="0.25">
      <c r="A28" s="22" t="s">
        <v>1252</v>
      </c>
      <c r="B28" s="6" t="s">
        <v>1193</v>
      </c>
      <c r="C28" s="6" t="s">
        <v>1253</v>
      </c>
      <c r="D28" s="6" t="s">
        <v>103</v>
      </c>
      <c r="E28" s="6" t="s">
        <v>104</v>
      </c>
      <c r="F28" s="6" t="s">
        <v>105</v>
      </c>
      <c r="G28" s="6" t="s">
        <v>80</v>
      </c>
      <c r="H28" s="6"/>
      <c r="I28" s="6" t="s">
        <v>1143</v>
      </c>
      <c r="J28" s="6" t="s">
        <v>1254</v>
      </c>
      <c r="K28" s="6" t="s">
        <v>1255</v>
      </c>
      <c r="L28" s="23"/>
      <c r="M28" s="6" t="s">
        <v>33</v>
      </c>
      <c r="N28" s="6"/>
      <c r="O28" s="6"/>
      <c r="P28" s="24"/>
      <c r="Q28" s="6"/>
      <c r="R28" s="6"/>
      <c r="S28" s="6"/>
    </row>
    <row r="29" spans="1:19" x14ac:dyDescent="0.25">
      <c r="A29" s="22" t="s">
        <v>1256</v>
      </c>
      <c r="B29" s="6" t="s">
        <v>1193</v>
      </c>
      <c r="C29" s="6" t="s">
        <v>1257</v>
      </c>
      <c r="D29" s="6" t="s">
        <v>209</v>
      </c>
      <c r="E29" s="6" t="s">
        <v>113</v>
      </c>
      <c r="F29" s="6" t="s">
        <v>105</v>
      </c>
      <c r="G29" s="6" t="s">
        <v>80</v>
      </c>
      <c r="H29" s="6"/>
      <c r="I29" s="6" t="s">
        <v>1143</v>
      </c>
      <c r="J29" s="6" t="s">
        <v>1258</v>
      </c>
      <c r="K29" s="6" t="s">
        <v>1259</v>
      </c>
      <c r="L29" s="23"/>
      <c r="M29" s="6" t="s">
        <v>33</v>
      </c>
      <c r="N29" s="6"/>
      <c r="O29" s="6"/>
      <c r="P29" s="24"/>
      <c r="Q29" s="6"/>
      <c r="R29" s="6"/>
      <c r="S29" s="6"/>
    </row>
    <row r="30" spans="1:19" x14ac:dyDescent="0.25">
      <c r="A30" s="22" t="s">
        <v>1260</v>
      </c>
      <c r="B30" s="6" t="s">
        <v>1193</v>
      </c>
      <c r="C30" s="6" t="s">
        <v>1261</v>
      </c>
      <c r="D30" s="6" t="s">
        <v>140</v>
      </c>
      <c r="E30" s="6" t="s">
        <v>104</v>
      </c>
      <c r="F30" s="6" t="s">
        <v>105</v>
      </c>
      <c r="G30" s="6" t="s">
        <v>80</v>
      </c>
      <c r="H30" s="6"/>
      <c r="I30" s="6" t="s">
        <v>1262</v>
      </c>
      <c r="J30" s="6" t="s">
        <v>1263</v>
      </c>
      <c r="K30" s="6" t="s">
        <v>1264</v>
      </c>
      <c r="L30" s="23"/>
      <c r="M30" s="6" t="s">
        <v>33</v>
      </c>
      <c r="N30" s="6"/>
      <c r="O30" s="6"/>
      <c r="P30" s="24"/>
      <c r="Q30" s="6"/>
      <c r="R30" s="6"/>
      <c r="S30" s="6"/>
    </row>
    <row r="31" spans="1:19" x14ac:dyDescent="0.25">
      <c r="A31" s="22" t="s">
        <v>1265</v>
      </c>
      <c r="B31" s="6" t="s">
        <v>1193</v>
      </c>
      <c r="C31" s="6" t="s">
        <v>1266</v>
      </c>
      <c r="D31" s="6" t="s">
        <v>112</v>
      </c>
      <c r="E31" s="6" t="s">
        <v>104</v>
      </c>
      <c r="F31" s="6" t="s">
        <v>105</v>
      </c>
      <c r="G31" s="6" t="s">
        <v>80</v>
      </c>
      <c r="H31" s="6"/>
      <c r="I31" s="6" t="s">
        <v>1143</v>
      </c>
      <c r="J31" s="6" t="s">
        <v>1267</v>
      </c>
      <c r="K31" s="6" t="s">
        <v>1268</v>
      </c>
      <c r="L31" s="23"/>
      <c r="M31" s="6" t="s">
        <v>33</v>
      </c>
      <c r="N31" s="6"/>
      <c r="O31" s="6"/>
      <c r="P31" s="24"/>
      <c r="Q31" s="6"/>
      <c r="R31" s="6"/>
      <c r="S31" s="6"/>
    </row>
    <row r="32" spans="1:19" x14ac:dyDescent="0.25">
      <c r="A32" s="22" t="s">
        <v>1269</v>
      </c>
      <c r="B32" s="6" t="s">
        <v>1193</v>
      </c>
      <c r="C32" s="6" t="s">
        <v>1270</v>
      </c>
      <c r="D32" s="6" t="s">
        <v>103</v>
      </c>
      <c r="E32" s="6" t="s">
        <v>104</v>
      </c>
      <c r="F32" s="6" t="s">
        <v>105</v>
      </c>
      <c r="G32" s="6" t="s">
        <v>80</v>
      </c>
      <c r="H32" s="6"/>
      <c r="I32" s="6" t="s">
        <v>1271</v>
      </c>
      <c r="J32" s="6" t="s">
        <v>1272</v>
      </c>
      <c r="K32" s="6" t="s">
        <v>1273</v>
      </c>
      <c r="L32" s="23"/>
      <c r="M32" s="6" t="s">
        <v>33</v>
      </c>
      <c r="N32" s="6"/>
      <c r="O32" s="6"/>
      <c r="P32" s="24"/>
      <c r="Q32" s="6"/>
      <c r="R32" s="6"/>
      <c r="S32" s="6"/>
    </row>
    <row r="33" spans="1:19" x14ac:dyDescent="0.25">
      <c r="A33" s="22" t="s">
        <v>1274</v>
      </c>
      <c r="B33" s="6" t="s">
        <v>1193</v>
      </c>
      <c r="C33" s="6" t="s">
        <v>1275</v>
      </c>
      <c r="D33" s="6" t="s">
        <v>103</v>
      </c>
      <c r="E33" s="6" t="s">
        <v>104</v>
      </c>
      <c r="F33" s="6" t="s">
        <v>105</v>
      </c>
      <c r="G33" s="6" t="s">
        <v>80</v>
      </c>
      <c r="H33" s="6"/>
      <c r="I33" s="6" t="s">
        <v>1276</v>
      </c>
      <c r="J33" s="6" t="s">
        <v>1277</v>
      </c>
      <c r="K33" s="6" t="s">
        <v>1278</v>
      </c>
      <c r="L33" s="23"/>
      <c r="M33" s="6" t="s">
        <v>33</v>
      </c>
      <c r="N33" s="6"/>
      <c r="O33" s="6"/>
      <c r="P33" s="24"/>
      <c r="Q33" s="6"/>
      <c r="R33" s="6"/>
      <c r="S33" s="6"/>
    </row>
    <row r="34" spans="1:19" x14ac:dyDescent="0.25">
      <c r="A34" s="22" t="s">
        <v>1279</v>
      </c>
      <c r="B34" s="6" t="s">
        <v>1193</v>
      </c>
      <c r="C34" s="6" t="s">
        <v>1280</v>
      </c>
      <c r="D34" s="6" t="s">
        <v>112</v>
      </c>
      <c r="E34" s="6" t="s">
        <v>113</v>
      </c>
      <c r="F34" s="6" t="s">
        <v>105</v>
      </c>
      <c r="G34" s="6" t="s">
        <v>80</v>
      </c>
      <c r="H34" s="6"/>
      <c r="I34" s="6" t="s">
        <v>1281</v>
      </c>
      <c r="J34" s="6" t="s">
        <v>1282</v>
      </c>
      <c r="K34" s="6" t="s">
        <v>1283</v>
      </c>
      <c r="L34" s="23" t="s">
        <v>1284</v>
      </c>
      <c r="M34" s="6" t="s">
        <v>33</v>
      </c>
      <c r="N34" s="6"/>
      <c r="O34" s="6"/>
      <c r="P34" s="24"/>
      <c r="Q34" s="6"/>
      <c r="R34" s="6"/>
      <c r="S34" s="6"/>
    </row>
    <row r="35" spans="1:19" x14ac:dyDescent="0.25">
      <c r="A35" s="22" t="s">
        <v>1285</v>
      </c>
      <c r="B35" s="6" t="s">
        <v>1193</v>
      </c>
      <c r="C35" s="6" t="s">
        <v>1286</v>
      </c>
      <c r="D35" s="6" t="s">
        <v>103</v>
      </c>
      <c r="E35" s="6" t="s">
        <v>113</v>
      </c>
      <c r="F35" s="6" t="s">
        <v>105</v>
      </c>
      <c r="G35" s="6" t="s">
        <v>80</v>
      </c>
      <c r="H35" s="6"/>
      <c r="I35" s="6" t="s">
        <v>1143</v>
      </c>
      <c r="J35" s="6" t="s">
        <v>1287</v>
      </c>
      <c r="K35" s="6" t="s">
        <v>1288</v>
      </c>
      <c r="L35" s="23"/>
      <c r="M35" s="6" t="s">
        <v>33</v>
      </c>
      <c r="N35" s="6"/>
      <c r="O35" s="6"/>
      <c r="P35" s="24"/>
      <c r="Q35" s="6"/>
      <c r="R35" s="6"/>
      <c r="S35" s="6"/>
    </row>
    <row r="36" spans="1:19" x14ac:dyDescent="0.25">
      <c r="A36" s="22" t="s">
        <v>1289</v>
      </c>
      <c r="B36" s="6" t="s">
        <v>1193</v>
      </c>
      <c r="C36" s="6" t="s">
        <v>1290</v>
      </c>
      <c r="D36" s="6" t="s">
        <v>103</v>
      </c>
      <c r="E36" s="6" t="s">
        <v>113</v>
      </c>
      <c r="F36" s="6" t="s">
        <v>121</v>
      </c>
      <c r="G36" s="6" t="s">
        <v>80</v>
      </c>
      <c r="H36" s="6"/>
      <c r="I36" s="6" t="s">
        <v>1143</v>
      </c>
      <c r="J36" s="6" t="s">
        <v>1291</v>
      </c>
      <c r="K36" s="6" t="s">
        <v>1292</v>
      </c>
      <c r="L36" s="23"/>
      <c r="M36" s="6" t="s">
        <v>33</v>
      </c>
      <c r="N36" s="6"/>
      <c r="O36" s="6"/>
      <c r="P36" s="24"/>
      <c r="Q36" s="6"/>
      <c r="R36" s="6"/>
      <c r="S36" s="6"/>
    </row>
    <row r="37" spans="1:19" x14ac:dyDescent="0.25">
      <c r="A37" s="22" t="s">
        <v>1293</v>
      </c>
      <c r="B37" s="6" t="s">
        <v>1193</v>
      </c>
      <c r="C37" s="6" t="s">
        <v>1294</v>
      </c>
      <c r="D37" s="6" t="s">
        <v>103</v>
      </c>
      <c r="E37" s="6" t="s">
        <v>104</v>
      </c>
      <c r="F37" s="6" t="s">
        <v>121</v>
      </c>
      <c r="G37" s="6" t="s">
        <v>80</v>
      </c>
      <c r="H37" s="6"/>
      <c r="I37" s="6" t="s">
        <v>1295</v>
      </c>
      <c r="J37" s="6" t="s">
        <v>1296</v>
      </c>
      <c r="K37" s="6" t="s">
        <v>1297</v>
      </c>
      <c r="L37" s="23"/>
      <c r="M37" s="6" t="s">
        <v>33</v>
      </c>
      <c r="N37" s="6"/>
      <c r="O37" s="6"/>
      <c r="P37" s="24"/>
      <c r="Q37" s="6"/>
      <c r="R37" s="6"/>
      <c r="S37" s="6"/>
    </row>
    <row r="38" spans="1:19" x14ac:dyDescent="0.25">
      <c r="A38" s="22" t="s">
        <v>1298</v>
      </c>
      <c r="B38" s="6" t="s">
        <v>1193</v>
      </c>
      <c r="C38" s="6" t="s">
        <v>1299</v>
      </c>
      <c r="D38" s="6" t="s">
        <v>209</v>
      </c>
      <c r="E38" s="6" t="s">
        <v>104</v>
      </c>
      <c r="F38" s="6" t="s">
        <v>121</v>
      </c>
      <c r="G38" s="6" t="s">
        <v>80</v>
      </c>
      <c r="H38" s="6"/>
      <c r="I38" s="6" t="s">
        <v>1300</v>
      </c>
      <c r="J38" s="6" t="s">
        <v>1301</v>
      </c>
      <c r="K38" s="6" t="s">
        <v>1302</v>
      </c>
      <c r="L38" s="23"/>
      <c r="M38" s="6" t="s">
        <v>33</v>
      </c>
      <c r="N38" s="6"/>
      <c r="O38" s="6"/>
      <c r="P38" s="24"/>
      <c r="Q38" s="6"/>
      <c r="R38" s="6"/>
      <c r="S38" s="6"/>
    </row>
    <row r="39" spans="1:19" x14ac:dyDescent="0.25">
      <c r="A39" s="22" t="s">
        <v>1303</v>
      </c>
      <c r="B39" s="6" t="s">
        <v>1193</v>
      </c>
      <c r="C39" s="6" t="s">
        <v>1304</v>
      </c>
      <c r="D39" s="6" t="s">
        <v>209</v>
      </c>
      <c r="E39" s="6" t="s">
        <v>113</v>
      </c>
      <c r="F39" s="6" t="s">
        <v>121</v>
      </c>
      <c r="G39" s="6" t="s">
        <v>80</v>
      </c>
      <c r="H39" s="6"/>
      <c r="I39" s="6" t="s">
        <v>1305</v>
      </c>
      <c r="J39" s="6" t="s">
        <v>1306</v>
      </c>
      <c r="K39" s="6" t="s">
        <v>1307</v>
      </c>
      <c r="L39" s="23"/>
      <c r="M39" s="6" t="s">
        <v>33</v>
      </c>
      <c r="N39" s="6"/>
      <c r="O39" s="6"/>
      <c r="P39" s="24"/>
      <c r="Q39" s="6"/>
      <c r="R39" s="6"/>
      <c r="S39" s="6"/>
    </row>
    <row r="40" spans="1:19" x14ac:dyDescent="0.25">
      <c r="A40" s="22" t="s">
        <v>1308</v>
      </c>
      <c r="B40" s="6" t="s">
        <v>1193</v>
      </c>
      <c r="C40" s="6" t="s">
        <v>1309</v>
      </c>
      <c r="D40" s="6" t="s">
        <v>103</v>
      </c>
      <c r="E40" s="6" t="s">
        <v>104</v>
      </c>
      <c r="F40" s="6" t="s">
        <v>105</v>
      </c>
      <c r="G40" s="6" t="s">
        <v>80</v>
      </c>
      <c r="H40" s="6"/>
      <c r="I40" s="6" t="s">
        <v>1310</v>
      </c>
      <c r="J40" s="6" t="s">
        <v>1311</v>
      </c>
      <c r="K40" s="6" t="s">
        <v>1312</v>
      </c>
      <c r="L40" s="23"/>
      <c r="M40" s="6" t="s">
        <v>33</v>
      </c>
      <c r="N40" s="6"/>
      <c r="O40" s="6"/>
      <c r="P40" s="24"/>
      <c r="Q40" s="6"/>
      <c r="R40" s="6"/>
      <c r="S40" s="6"/>
    </row>
    <row r="41" spans="1:19" x14ac:dyDescent="0.25">
      <c r="A41" s="22" t="s">
        <v>1313</v>
      </c>
      <c r="B41" s="6" t="s">
        <v>1193</v>
      </c>
      <c r="C41" s="6" t="s">
        <v>1314</v>
      </c>
      <c r="D41" s="6" t="s">
        <v>103</v>
      </c>
      <c r="E41" s="6" t="s">
        <v>145</v>
      </c>
      <c r="F41" s="6" t="s">
        <v>121</v>
      </c>
      <c r="G41" s="6" t="s">
        <v>80</v>
      </c>
      <c r="H41" s="6"/>
      <c r="I41" s="6" t="s">
        <v>1315</v>
      </c>
      <c r="J41" s="6" t="s">
        <v>1316</v>
      </c>
      <c r="K41" s="6" t="s">
        <v>1317</v>
      </c>
      <c r="L41" s="23" t="s">
        <v>1318</v>
      </c>
      <c r="M41" s="6" t="s">
        <v>33</v>
      </c>
      <c r="N41" s="6"/>
      <c r="O41" s="6"/>
      <c r="P41" s="24"/>
      <c r="Q41" s="6"/>
      <c r="R41" s="6"/>
      <c r="S41" s="6"/>
    </row>
    <row r="42" spans="1:19" x14ac:dyDescent="0.25">
      <c r="A42" s="22" t="s">
        <v>1319</v>
      </c>
      <c r="B42" s="6" t="s">
        <v>1193</v>
      </c>
      <c r="C42" s="6" t="s">
        <v>1320</v>
      </c>
      <c r="D42" s="6" t="s">
        <v>103</v>
      </c>
      <c r="E42" s="6" t="s">
        <v>145</v>
      </c>
      <c r="F42" s="6" t="s">
        <v>121</v>
      </c>
      <c r="G42" s="6" t="s">
        <v>80</v>
      </c>
      <c r="H42" s="6"/>
      <c r="I42" s="6" t="s">
        <v>1143</v>
      </c>
      <c r="J42" s="6" t="s">
        <v>1321</v>
      </c>
      <c r="K42" s="6" t="s">
        <v>1322</v>
      </c>
      <c r="L42" s="23"/>
      <c r="M42" s="6" t="s">
        <v>33</v>
      </c>
      <c r="N42" s="6"/>
      <c r="O42" s="6"/>
      <c r="P42" s="24"/>
      <c r="Q42" s="6"/>
      <c r="R42" s="6"/>
      <c r="S42" s="6"/>
    </row>
    <row r="43" spans="1:19" x14ac:dyDescent="0.25">
      <c r="A43" s="22" t="s">
        <v>1323</v>
      </c>
      <c r="B43" s="6" t="s">
        <v>1193</v>
      </c>
      <c r="C43" s="6" t="s">
        <v>1324</v>
      </c>
      <c r="D43" s="6" t="s">
        <v>103</v>
      </c>
      <c r="E43" s="6" t="s">
        <v>145</v>
      </c>
      <c r="F43" s="6" t="s">
        <v>121</v>
      </c>
      <c r="G43" s="6" t="s">
        <v>80</v>
      </c>
      <c r="H43" s="6"/>
      <c r="I43" s="6" t="s">
        <v>1325</v>
      </c>
      <c r="J43" s="6" t="s">
        <v>1326</v>
      </c>
      <c r="K43" s="6" t="s">
        <v>1327</v>
      </c>
      <c r="L43" s="23"/>
      <c r="M43" s="6" t="s">
        <v>33</v>
      </c>
      <c r="N43" s="6"/>
      <c r="O43" s="6"/>
      <c r="P43" s="24"/>
      <c r="Q43" s="6"/>
      <c r="R43" s="6"/>
      <c r="S43" s="6"/>
    </row>
    <row r="44" spans="1:19" x14ac:dyDescent="0.25">
      <c r="A44" s="22" t="s">
        <v>1328</v>
      </c>
      <c r="B44" s="6" t="s">
        <v>1193</v>
      </c>
      <c r="C44" s="6" t="s">
        <v>1329</v>
      </c>
      <c r="D44" s="6" t="s">
        <v>140</v>
      </c>
      <c r="E44" s="6" t="s">
        <v>104</v>
      </c>
      <c r="F44" s="6" t="s">
        <v>105</v>
      </c>
      <c r="G44" s="6" t="s">
        <v>80</v>
      </c>
      <c r="H44" s="6"/>
      <c r="I44" s="6" t="s">
        <v>1330</v>
      </c>
      <c r="J44" s="6" t="s">
        <v>1331</v>
      </c>
      <c r="K44" s="6" t="s">
        <v>1332</v>
      </c>
      <c r="L44" s="23"/>
      <c r="M44" s="6" t="s">
        <v>33</v>
      </c>
      <c r="N44" s="6"/>
      <c r="O44" s="6"/>
      <c r="P44" s="24"/>
      <c r="Q44" s="6"/>
      <c r="R44" s="6"/>
      <c r="S44" s="6"/>
    </row>
    <row r="45" spans="1:19" x14ac:dyDescent="0.25">
      <c r="A45" s="22" t="s">
        <v>1333</v>
      </c>
      <c r="B45" s="6" t="s">
        <v>1193</v>
      </c>
      <c r="C45" s="6" t="s">
        <v>1334</v>
      </c>
      <c r="D45" s="6" t="s">
        <v>120</v>
      </c>
      <c r="E45" s="6" t="s">
        <v>113</v>
      </c>
      <c r="F45" s="6" t="s">
        <v>127</v>
      </c>
      <c r="G45" s="6" t="s">
        <v>80</v>
      </c>
      <c r="H45" s="6"/>
      <c r="I45" s="6" t="s">
        <v>1335</v>
      </c>
      <c r="J45" s="6" t="s">
        <v>1336</v>
      </c>
      <c r="K45" s="6" t="s">
        <v>1337</v>
      </c>
      <c r="L45" s="23"/>
      <c r="M45" s="6" t="s">
        <v>33</v>
      </c>
      <c r="N45" s="6"/>
      <c r="O45" s="6"/>
      <c r="P45" s="24"/>
      <c r="Q45" s="6"/>
      <c r="R45" s="6"/>
      <c r="S45" s="6"/>
    </row>
    <row r="46" spans="1:19" x14ac:dyDescent="0.25">
      <c r="A46" s="22" t="s">
        <v>1338</v>
      </c>
      <c r="B46" s="6" t="s">
        <v>1339</v>
      </c>
      <c r="C46" s="6" t="s">
        <v>1340</v>
      </c>
      <c r="D46" s="6" t="s">
        <v>103</v>
      </c>
      <c r="E46" s="6" t="s">
        <v>113</v>
      </c>
      <c r="F46" s="6" t="s">
        <v>121</v>
      </c>
      <c r="G46" s="6" t="s">
        <v>80</v>
      </c>
      <c r="H46" s="6"/>
      <c r="I46" s="6" t="s">
        <v>1143</v>
      </c>
      <c r="J46" s="6" t="s">
        <v>1341</v>
      </c>
      <c r="K46" s="6" t="s">
        <v>1342</v>
      </c>
      <c r="L46" s="23"/>
      <c r="M46" s="6" t="s">
        <v>33</v>
      </c>
      <c r="N46" s="6"/>
      <c r="O46" s="6"/>
      <c r="P46" s="24"/>
      <c r="Q46" s="6"/>
      <c r="R46" s="6"/>
      <c r="S46" s="6"/>
    </row>
    <row r="47" spans="1:19" x14ac:dyDescent="0.25">
      <c r="A47" s="22" t="s">
        <v>1343</v>
      </c>
      <c r="B47" s="6" t="s">
        <v>1339</v>
      </c>
      <c r="C47" s="6" t="s">
        <v>1344</v>
      </c>
      <c r="D47" s="6" t="s">
        <v>103</v>
      </c>
      <c r="E47" s="6" t="s">
        <v>104</v>
      </c>
      <c r="F47" s="6" t="s">
        <v>105</v>
      </c>
      <c r="G47" s="6" t="s">
        <v>80</v>
      </c>
      <c r="H47" s="6"/>
      <c r="I47" s="6" t="s">
        <v>1143</v>
      </c>
      <c r="J47" s="6" t="s">
        <v>1345</v>
      </c>
      <c r="K47" s="6" t="s">
        <v>1346</v>
      </c>
      <c r="L47" s="23"/>
      <c r="M47" s="6" t="s">
        <v>33</v>
      </c>
      <c r="N47" s="6"/>
      <c r="O47" s="6"/>
      <c r="P47" s="24"/>
      <c r="Q47" s="6"/>
      <c r="R47" s="6"/>
      <c r="S47" s="6"/>
    </row>
    <row r="48" spans="1:19" x14ac:dyDescent="0.25">
      <c r="A48" s="22" t="s">
        <v>1347</v>
      </c>
      <c r="B48" s="6" t="s">
        <v>1339</v>
      </c>
      <c r="C48" s="6" t="s">
        <v>1348</v>
      </c>
      <c r="D48" s="6" t="s">
        <v>103</v>
      </c>
      <c r="E48" s="6" t="s">
        <v>113</v>
      </c>
      <c r="F48" s="6" t="s">
        <v>105</v>
      </c>
      <c r="G48" s="6" t="s">
        <v>80</v>
      </c>
      <c r="H48" s="6"/>
      <c r="I48" s="6" t="s">
        <v>1143</v>
      </c>
      <c r="J48" s="6" t="s">
        <v>1349</v>
      </c>
      <c r="K48" s="6" t="s">
        <v>1350</v>
      </c>
      <c r="L48" s="23"/>
      <c r="M48" s="6" t="s">
        <v>33</v>
      </c>
      <c r="N48" s="6"/>
      <c r="O48" s="6"/>
      <c r="P48" s="24"/>
      <c r="Q48" s="6"/>
      <c r="R48" s="6"/>
      <c r="S48" s="6"/>
    </row>
    <row r="49" spans="1:19" x14ac:dyDescent="0.25">
      <c r="A49" s="22" t="s">
        <v>1351</v>
      </c>
      <c r="B49" s="6" t="s">
        <v>1339</v>
      </c>
      <c r="C49" s="6" t="s">
        <v>1352</v>
      </c>
      <c r="D49" s="6" t="s">
        <v>209</v>
      </c>
      <c r="E49" s="6" t="s">
        <v>104</v>
      </c>
      <c r="F49" s="6" t="s">
        <v>105</v>
      </c>
      <c r="G49" s="6" t="s">
        <v>80</v>
      </c>
      <c r="H49" s="6"/>
      <c r="I49" s="6" t="s">
        <v>1143</v>
      </c>
      <c r="J49" s="6" t="s">
        <v>1353</v>
      </c>
      <c r="K49" s="6" t="s">
        <v>1354</v>
      </c>
      <c r="L49" s="23" t="s">
        <v>1355</v>
      </c>
      <c r="M49" s="6" t="s">
        <v>33</v>
      </c>
      <c r="N49" s="6"/>
      <c r="O49" s="6"/>
      <c r="P49" s="24"/>
      <c r="Q49" s="6"/>
      <c r="R49" s="6"/>
      <c r="S49" s="6"/>
    </row>
    <row r="50" spans="1:19" x14ac:dyDescent="0.25">
      <c r="A50" s="22" t="s">
        <v>1356</v>
      </c>
      <c r="B50" s="6" t="s">
        <v>1339</v>
      </c>
      <c r="C50" s="6" t="s">
        <v>1357</v>
      </c>
      <c r="D50" s="6" t="s">
        <v>103</v>
      </c>
      <c r="E50" s="6" t="s">
        <v>113</v>
      </c>
      <c r="F50" s="6" t="s">
        <v>105</v>
      </c>
      <c r="G50" s="6" t="s">
        <v>80</v>
      </c>
      <c r="H50" s="6"/>
      <c r="I50" s="6" t="s">
        <v>1358</v>
      </c>
      <c r="J50" s="6" t="s">
        <v>1359</v>
      </c>
      <c r="K50" s="6" t="s">
        <v>1360</v>
      </c>
      <c r="L50" s="23"/>
      <c r="M50" s="6" t="s">
        <v>33</v>
      </c>
      <c r="N50" s="6"/>
      <c r="O50" s="6"/>
      <c r="P50" s="24"/>
      <c r="Q50" s="6"/>
      <c r="R50" s="6"/>
      <c r="S50" s="6"/>
    </row>
    <row r="51" spans="1:19" x14ac:dyDescent="0.25">
      <c r="A51" s="22" t="s">
        <v>1361</v>
      </c>
      <c r="B51" s="6" t="s">
        <v>1339</v>
      </c>
      <c r="C51" s="6" t="s">
        <v>1362</v>
      </c>
      <c r="D51" s="6" t="s">
        <v>103</v>
      </c>
      <c r="E51" s="6" t="s">
        <v>113</v>
      </c>
      <c r="F51" s="6" t="s">
        <v>105</v>
      </c>
      <c r="G51" s="6" t="s">
        <v>80</v>
      </c>
      <c r="H51" s="6"/>
      <c r="I51" s="6" t="s">
        <v>1363</v>
      </c>
      <c r="J51" s="6" t="s">
        <v>1364</v>
      </c>
      <c r="K51" s="6" t="s">
        <v>1365</v>
      </c>
      <c r="L51" s="23"/>
      <c r="M51" s="6" t="s">
        <v>33</v>
      </c>
      <c r="N51" s="6"/>
      <c r="O51" s="6"/>
      <c r="P51" s="24"/>
      <c r="Q51" s="6"/>
      <c r="R51" s="6"/>
      <c r="S51" s="6"/>
    </row>
    <row r="52" spans="1:19" x14ac:dyDescent="0.25">
      <c r="A52" s="22" t="s">
        <v>1366</v>
      </c>
      <c r="B52" s="6" t="s">
        <v>1339</v>
      </c>
      <c r="C52" s="6" t="s">
        <v>1367</v>
      </c>
      <c r="D52" s="6" t="s">
        <v>140</v>
      </c>
      <c r="E52" s="6" t="s">
        <v>113</v>
      </c>
      <c r="F52" s="6" t="s">
        <v>105</v>
      </c>
      <c r="G52" s="6" t="s">
        <v>80</v>
      </c>
      <c r="H52" s="6"/>
      <c r="I52" s="6" t="s">
        <v>1143</v>
      </c>
      <c r="J52" s="6" t="s">
        <v>1368</v>
      </c>
      <c r="K52" s="6" t="s">
        <v>1369</v>
      </c>
      <c r="L52" s="23"/>
      <c r="M52" s="6" t="s">
        <v>33</v>
      </c>
      <c r="N52" s="6"/>
      <c r="O52" s="6"/>
      <c r="P52" s="24"/>
      <c r="Q52" s="6"/>
      <c r="R52" s="6"/>
      <c r="S52" s="6"/>
    </row>
    <row r="53" spans="1:19" x14ac:dyDescent="0.25">
      <c r="A53" s="22" t="s">
        <v>1370</v>
      </c>
      <c r="B53" s="6" t="s">
        <v>1371</v>
      </c>
      <c r="C53" s="6" t="s">
        <v>1372</v>
      </c>
      <c r="D53" s="6" t="s">
        <v>103</v>
      </c>
      <c r="E53" s="6" t="s">
        <v>104</v>
      </c>
      <c r="F53" s="6" t="s">
        <v>105</v>
      </c>
      <c r="G53" s="6" t="s">
        <v>80</v>
      </c>
      <c r="H53" s="6"/>
      <c r="I53" s="6" t="s">
        <v>1143</v>
      </c>
      <c r="J53" s="6" t="s">
        <v>1373</v>
      </c>
      <c r="K53" s="6" t="s">
        <v>1374</v>
      </c>
      <c r="L53" s="23"/>
      <c r="M53" s="6" t="s">
        <v>33</v>
      </c>
      <c r="N53" s="6"/>
      <c r="O53" s="6"/>
      <c r="P53" s="24"/>
      <c r="Q53" s="6"/>
      <c r="R53" s="6"/>
      <c r="S53" s="6"/>
    </row>
    <row r="54" spans="1:19" x14ac:dyDescent="0.25">
      <c r="A54" s="22" t="s">
        <v>1375</v>
      </c>
      <c r="B54" s="6" t="s">
        <v>1371</v>
      </c>
      <c r="C54" s="6" t="s">
        <v>1376</v>
      </c>
      <c r="D54" s="6" t="s">
        <v>209</v>
      </c>
      <c r="E54" s="6" t="s">
        <v>113</v>
      </c>
      <c r="F54" s="6" t="s">
        <v>105</v>
      </c>
      <c r="G54" s="6" t="s">
        <v>80</v>
      </c>
      <c r="H54" s="6"/>
      <c r="I54" s="6" t="s">
        <v>1143</v>
      </c>
      <c r="J54" s="6" t="s">
        <v>1377</v>
      </c>
      <c r="K54" s="6" t="s">
        <v>1378</v>
      </c>
      <c r="L54" s="23" t="s">
        <v>1237</v>
      </c>
      <c r="M54" s="6" t="s">
        <v>33</v>
      </c>
      <c r="N54" s="6"/>
      <c r="O54" s="6"/>
      <c r="P54" s="24"/>
      <c r="Q54" s="6"/>
      <c r="R54" s="6"/>
      <c r="S54" s="6"/>
    </row>
    <row r="55" spans="1:19" x14ac:dyDescent="0.25">
      <c r="A55" s="22" t="s">
        <v>1379</v>
      </c>
      <c r="B55" s="6" t="s">
        <v>1371</v>
      </c>
      <c r="C55" s="6" t="s">
        <v>1380</v>
      </c>
      <c r="D55" s="6" t="s">
        <v>103</v>
      </c>
      <c r="E55" s="6" t="s">
        <v>113</v>
      </c>
      <c r="F55" s="6" t="s">
        <v>105</v>
      </c>
      <c r="G55" s="6" t="s">
        <v>80</v>
      </c>
      <c r="H55" s="6"/>
      <c r="I55" s="6" t="s">
        <v>1381</v>
      </c>
      <c r="J55" s="6" t="s">
        <v>1382</v>
      </c>
      <c r="K55" s="6" t="s">
        <v>1383</v>
      </c>
      <c r="L55" s="23"/>
      <c r="M55" s="6" t="s">
        <v>33</v>
      </c>
      <c r="N55" s="6"/>
      <c r="O55" s="6"/>
      <c r="P55" s="24"/>
      <c r="Q55" s="6"/>
      <c r="R55" s="6"/>
      <c r="S55" s="6"/>
    </row>
    <row r="56" spans="1:19" x14ac:dyDescent="0.25">
      <c r="A56" s="22" t="s">
        <v>1384</v>
      </c>
      <c r="B56" s="6" t="s">
        <v>1371</v>
      </c>
      <c r="C56" s="6" t="s">
        <v>1385</v>
      </c>
      <c r="D56" s="6" t="s">
        <v>112</v>
      </c>
      <c r="E56" s="6" t="s">
        <v>104</v>
      </c>
      <c r="F56" s="6" t="s">
        <v>105</v>
      </c>
      <c r="G56" s="6" t="s">
        <v>80</v>
      </c>
      <c r="H56" s="6"/>
      <c r="I56" s="6" t="s">
        <v>1143</v>
      </c>
      <c r="J56" s="6" t="s">
        <v>1386</v>
      </c>
      <c r="K56" s="6" t="s">
        <v>1387</v>
      </c>
      <c r="L56" s="23"/>
      <c r="M56" s="6" t="s">
        <v>33</v>
      </c>
      <c r="N56" s="6"/>
      <c r="O56" s="6"/>
      <c r="P56" s="24"/>
      <c r="Q56" s="6"/>
      <c r="R56" s="6"/>
      <c r="S56" s="6"/>
    </row>
    <row r="57" spans="1:19" x14ac:dyDescent="0.25">
      <c r="A57" s="22" t="s">
        <v>1388</v>
      </c>
      <c r="B57" s="6" t="s">
        <v>1371</v>
      </c>
      <c r="C57" s="6" t="s">
        <v>1389</v>
      </c>
      <c r="D57" s="6" t="s">
        <v>103</v>
      </c>
      <c r="E57" s="6" t="s">
        <v>113</v>
      </c>
      <c r="F57" s="6" t="s">
        <v>105</v>
      </c>
      <c r="G57" s="6" t="s">
        <v>80</v>
      </c>
      <c r="H57" s="6"/>
      <c r="I57" s="6" t="s">
        <v>1390</v>
      </c>
      <c r="J57" s="6" t="s">
        <v>1391</v>
      </c>
      <c r="K57" s="6" t="s">
        <v>1392</v>
      </c>
      <c r="L57" s="23"/>
      <c r="M57" s="6" t="s">
        <v>33</v>
      </c>
      <c r="N57" s="6"/>
      <c r="O57" s="6"/>
      <c r="P57" s="24"/>
      <c r="Q57" s="6"/>
      <c r="R57" s="6"/>
      <c r="S57" s="6"/>
    </row>
    <row r="58" spans="1:19" x14ac:dyDescent="0.25">
      <c r="A58" s="22" t="s">
        <v>1393</v>
      </c>
      <c r="B58" s="6" t="s">
        <v>1371</v>
      </c>
      <c r="C58" s="6" t="s">
        <v>1394</v>
      </c>
      <c r="D58" s="6" t="s">
        <v>103</v>
      </c>
      <c r="E58" s="6" t="s">
        <v>104</v>
      </c>
      <c r="F58" s="6" t="s">
        <v>121</v>
      </c>
      <c r="G58" s="6" t="s">
        <v>80</v>
      </c>
      <c r="H58" s="6"/>
      <c r="I58" s="6" t="s">
        <v>1395</v>
      </c>
      <c r="J58" s="6" t="s">
        <v>1396</v>
      </c>
      <c r="K58" s="6" t="s">
        <v>1397</v>
      </c>
      <c r="L58" s="23"/>
      <c r="M58" s="6" t="s">
        <v>33</v>
      </c>
      <c r="N58" s="6"/>
      <c r="O58" s="6"/>
      <c r="P58" s="24"/>
      <c r="Q58" s="6"/>
      <c r="R58" s="6"/>
      <c r="S58" s="6"/>
    </row>
    <row r="59" spans="1:19" x14ac:dyDescent="0.25">
      <c r="A59" s="22" t="s">
        <v>1398</v>
      </c>
      <c r="B59" s="6" t="s">
        <v>1371</v>
      </c>
      <c r="C59" s="6" t="s">
        <v>1399</v>
      </c>
      <c r="D59" s="6" t="s">
        <v>209</v>
      </c>
      <c r="E59" s="6" t="s">
        <v>113</v>
      </c>
      <c r="F59" s="6" t="s">
        <v>121</v>
      </c>
      <c r="G59" s="6" t="s">
        <v>80</v>
      </c>
      <c r="H59" s="6"/>
      <c r="I59" s="6" t="s">
        <v>1143</v>
      </c>
      <c r="J59" s="6" t="s">
        <v>1400</v>
      </c>
      <c r="K59" s="6" t="s">
        <v>1401</v>
      </c>
      <c r="L59" s="23"/>
      <c r="M59" s="6" t="s">
        <v>33</v>
      </c>
      <c r="N59" s="6"/>
      <c r="O59" s="6"/>
      <c r="P59" s="24"/>
      <c r="Q59" s="6"/>
      <c r="R59" s="6"/>
      <c r="S59" s="6"/>
    </row>
    <row r="60" spans="1:19" x14ac:dyDescent="0.25">
      <c r="A60" s="22" t="s">
        <v>1402</v>
      </c>
      <c r="B60" s="6" t="s">
        <v>1371</v>
      </c>
      <c r="C60" s="6" t="s">
        <v>1403</v>
      </c>
      <c r="D60" s="6" t="s">
        <v>103</v>
      </c>
      <c r="E60" s="6" t="s">
        <v>104</v>
      </c>
      <c r="F60" s="6" t="s">
        <v>105</v>
      </c>
      <c r="G60" s="6" t="s">
        <v>80</v>
      </c>
      <c r="H60" s="6"/>
      <c r="I60" s="6" t="s">
        <v>1404</v>
      </c>
      <c r="J60" s="6" t="s">
        <v>1405</v>
      </c>
      <c r="K60" s="6" t="s">
        <v>1406</v>
      </c>
      <c r="L60" s="23"/>
      <c r="M60" s="6" t="s">
        <v>33</v>
      </c>
      <c r="N60" s="6"/>
      <c r="O60" s="6"/>
      <c r="P60" s="24"/>
      <c r="Q60" s="6"/>
      <c r="R60" s="6"/>
      <c r="S60" s="6"/>
    </row>
    <row r="61" spans="1:19" x14ac:dyDescent="0.25">
      <c r="A61" s="22" t="s">
        <v>1407</v>
      </c>
      <c r="B61" s="6" t="s">
        <v>1371</v>
      </c>
      <c r="C61" s="6" t="s">
        <v>1408</v>
      </c>
      <c r="D61" s="6" t="s">
        <v>112</v>
      </c>
      <c r="E61" s="6" t="s">
        <v>113</v>
      </c>
      <c r="F61" s="6" t="s">
        <v>105</v>
      </c>
      <c r="G61" s="6" t="s">
        <v>80</v>
      </c>
      <c r="H61" s="6"/>
      <c r="I61" s="6" t="s">
        <v>1409</v>
      </c>
      <c r="J61" s="6" t="s">
        <v>1410</v>
      </c>
      <c r="K61" s="6" t="s">
        <v>1411</v>
      </c>
      <c r="L61" s="23"/>
      <c r="M61" s="6" t="s">
        <v>33</v>
      </c>
      <c r="N61" s="6"/>
      <c r="O61" s="6"/>
      <c r="P61" s="24"/>
      <c r="Q61" s="6"/>
      <c r="R61" s="6"/>
      <c r="S61" s="6"/>
    </row>
    <row r="62" spans="1:19" x14ac:dyDescent="0.25">
      <c r="A62" s="22" t="s">
        <v>1412</v>
      </c>
      <c r="B62" s="6" t="s">
        <v>1413</v>
      </c>
      <c r="C62" s="6" t="s">
        <v>1414</v>
      </c>
      <c r="D62" s="6" t="s">
        <v>103</v>
      </c>
      <c r="E62" s="6" t="s">
        <v>104</v>
      </c>
      <c r="F62" s="6" t="s">
        <v>121</v>
      </c>
      <c r="G62" s="6" t="s">
        <v>78</v>
      </c>
      <c r="H62" s="6"/>
      <c r="I62" s="6" t="s">
        <v>1415</v>
      </c>
      <c r="J62" s="6" t="s">
        <v>1416</v>
      </c>
      <c r="K62" s="6" t="s">
        <v>1417</v>
      </c>
      <c r="L62" s="23"/>
      <c r="M62" s="6" t="s">
        <v>33</v>
      </c>
      <c r="N62" s="6"/>
      <c r="O62" s="6"/>
      <c r="P62" s="24"/>
      <c r="Q62" s="6"/>
      <c r="R62" s="6"/>
      <c r="S62" s="6"/>
    </row>
    <row r="63" spans="1:19" x14ac:dyDescent="0.25">
      <c r="A63" s="22" t="s">
        <v>1418</v>
      </c>
      <c r="B63" s="6" t="s">
        <v>1413</v>
      </c>
      <c r="C63" s="6" t="s">
        <v>1419</v>
      </c>
      <c r="D63" s="6" t="s">
        <v>103</v>
      </c>
      <c r="E63" s="6" t="s">
        <v>104</v>
      </c>
      <c r="F63" s="6" t="s">
        <v>105</v>
      </c>
      <c r="G63" s="6" t="s">
        <v>79</v>
      </c>
      <c r="H63" s="6"/>
      <c r="I63" s="6" t="s">
        <v>1420</v>
      </c>
      <c r="J63" s="6" t="s">
        <v>1421</v>
      </c>
      <c r="K63" s="6" t="s">
        <v>1422</v>
      </c>
      <c r="L63" s="23"/>
      <c r="M63" s="6" t="s">
        <v>33</v>
      </c>
      <c r="N63" s="6"/>
      <c r="O63" s="6"/>
      <c r="P63" s="24"/>
      <c r="Q63" s="6"/>
      <c r="R63" s="6"/>
      <c r="S63" s="6"/>
    </row>
    <row r="64" spans="1:19" x14ac:dyDescent="0.25">
      <c r="A64" s="22" t="s">
        <v>1423</v>
      </c>
      <c r="B64" s="6" t="s">
        <v>1413</v>
      </c>
      <c r="C64" s="6" t="s">
        <v>1424</v>
      </c>
      <c r="D64" s="6" t="s">
        <v>209</v>
      </c>
      <c r="E64" s="6" t="s">
        <v>104</v>
      </c>
      <c r="F64" s="6" t="s">
        <v>105</v>
      </c>
      <c r="G64" s="6" t="s">
        <v>80</v>
      </c>
      <c r="H64" s="6"/>
      <c r="I64" s="6" t="s">
        <v>1143</v>
      </c>
      <c r="J64" s="6" t="s">
        <v>1425</v>
      </c>
      <c r="K64" s="6" t="s">
        <v>1426</v>
      </c>
      <c r="L64" s="23" t="s">
        <v>1427</v>
      </c>
      <c r="M64" s="6" t="s">
        <v>33</v>
      </c>
      <c r="N64" s="6"/>
      <c r="O64" s="6"/>
      <c r="P64" s="24"/>
      <c r="Q64" s="6"/>
      <c r="R64" s="6"/>
      <c r="S64" s="6"/>
    </row>
    <row r="65" spans="1:19" x14ac:dyDescent="0.25">
      <c r="A65" s="22" t="s">
        <v>1428</v>
      </c>
      <c r="B65" s="6" t="s">
        <v>1413</v>
      </c>
      <c r="C65" s="6" t="s">
        <v>1429</v>
      </c>
      <c r="D65" s="6" t="s">
        <v>209</v>
      </c>
      <c r="E65" s="6" t="s">
        <v>104</v>
      </c>
      <c r="F65" s="6" t="s">
        <v>105</v>
      </c>
      <c r="G65" s="6" t="s">
        <v>79</v>
      </c>
      <c r="H65" s="6"/>
      <c r="I65" s="6" t="s">
        <v>1430</v>
      </c>
      <c r="J65" s="6" t="s">
        <v>1431</v>
      </c>
      <c r="K65" s="6" t="s">
        <v>1432</v>
      </c>
      <c r="L65" s="23"/>
      <c r="M65" s="6" t="s">
        <v>33</v>
      </c>
      <c r="N65" s="6"/>
      <c r="O65" s="6"/>
      <c r="P65" s="24"/>
      <c r="Q65" s="6"/>
      <c r="R65" s="6"/>
      <c r="S65" s="6"/>
    </row>
    <row r="66" spans="1:19" x14ac:dyDescent="0.25">
      <c r="A66" s="22" t="s">
        <v>1433</v>
      </c>
      <c r="B66" s="6" t="s">
        <v>1413</v>
      </c>
      <c r="C66" s="6" t="s">
        <v>1434</v>
      </c>
      <c r="D66" s="6" t="s">
        <v>209</v>
      </c>
      <c r="E66" s="6" t="s">
        <v>113</v>
      </c>
      <c r="F66" s="6" t="s">
        <v>105</v>
      </c>
      <c r="G66" s="6" t="s">
        <v>80</v>
      </c>
      <c r="H66" s="6"/>
      <c r="I66" s="6" t="s">
        <v>1143</v>
      </c>
      <c r="J66" s="6" t="s">
        <v>1435</v>
      </c>
      <c r="K66" s="6" t="s">
        <v>1436</v>
      </c>
      <c r="L66" s="23"/>
      <c r="M66" s="6" t="s">
        <v>33</v>
      </c>
      <c r="N66" s="6"/>
      <c r="O66" s="6"/>
      <c r="P66" s="24"/>
      <c r="Q66" s="6"/>
      <c r="R66" s="6"/>
      <c r="S66" s="6"/>
    </row>
    <row r="67" spans="1:19" x14ac:dyDescent="0.25">
      <c r="A67" s="22" t="s">
        <v>1437</v>
      </c>
      <c r="B67" s="6" t="s">
        <v>1413</v>
      </c>
      <c r="C67" s="6" t="s">
        <v>1438</v>
      </c>
      <c r="D67" s="6" t="s">
        <v>209</v>
      </c>
      <c r="E67" s="6" t="s">
        <v>104</v>
      </c>
      <c r="F67" s="6" t="s">
        <v>105</v>
      </c>
      <c r="G67" s="6" t="s">
        <v>80</v>
      </c>
      <c r="H67" s="6"/>
      <c r="I67" s="6" t="s">
        <v>1143</v>
      </c>
      <c r="J67" s="6" t="s">
        <v>1439</v>
      </c>
      <c r="K67" s="6" t="s">
        <v>1440</v>
      </c>
      <c r="L67" s="23"/>
      <c r="M67" s="6" t="s">
        <v>33</v>
      </c>
      <c r="N67" s="6"/>
      <c r="O67" s="6"/>
      <c r="P67" s="24"/>
      <c r="Q67" s="6"/>
      <c r="R67" s="6"/>
      <c r="S67" s="6"/>
    </row>
    <row r="68" spans="1:19" x14ac:dyDescent="0.25">
      <c r="A68" s="22" t="s">
        <v>1441</v>
      </c>
      <c r="B68" s="6" t="s">
        <v>1413</v>
      </c>
      <c r="C68" s="6" t="s">
        <v>1442</v>
      </c>
      <c r="D68" s="6" t="s">
        <v>103</v>
      </c>
      <c r="E68" s="6" t="s">
        <v>113</v>
      </c>
      <c r="F68" s="6" t="s">
        <v>105</v>
      </c>
      <c r="G68" s="6" t="s">
        <v>80</v>
      </c>
      <c r="H68" s="6"/>
      <c r="I68" s="6" t="s">
        <v>1143</v>
      </c>
      <c r="J68" s="6" t="s">
        <v>1443</v>
      </c>
      <c r="K68" s="6" t="s">
        <v>1444</v>
      </c>
      <c r="L68" s="23"/>
      <c r="M68" s="6" t="s">
        <v>33</v>
      </c>
      <c r="N68" s="6"/>
      <c r="O68" s="6"/>
      <c r="P68" s="24"/>
      <c r="Q68" s="6"/>
      <c r="R68" s="6"/>
      <c r="S68" s="6"/>
    </row>
    <row r="69" spans="1:19" x14ac:dyDescent="0.25">
      <c r="A69" s="22" t="s">
        <v>1445</v>
      </c>
      <c r="B69" s="6" t="s">
        <v>1413</v>
      </c>
      <c r="C69" s="6" t="s">
        <v>1446</v>
      </c>
      <c r="D69" s="6" t="s">
        <v>103</v>
      </c>
      <c r="E69" s="6" t="s">
        <v>104</v>
      </c>
      <c r="F69" s="6" t="s">
        <v>121</v>
      </c>
      <c r="G69" s="6" t="s">
        <v>80</v>
      </c>
      <c r="H69" s="6"/>
      <c r="I69" s="6" t="s">
        <v>1143</v>
      </c>
      <c r="J69" s="6" t="s">
        <v>1447</v>
      </c>
      <c r="K69" s="6" t="s">
        <v>1448</v>
      </c>
      <c r="L69" s="23"/>
      <c r="M69" s="6" t="s">
        <v>33</v>
      </c>
      <c r="N69" s="6"/>
      <c r="O69" s="6"/>
      <c r="P69" s="24"/>
      <c r="Q69" s="6"/>
      <c r="R69" s="6"/>
      <c r="S69" s="6"/>
    </row>
    <row r="70" spans="1:19" x14ac:dyDescent="0.25">
      <c r="A70" s="22" t="s">
        <v>1449</v>
      </c>
      <c r="B70" s="6" t="s">
        <v>1413</v>
      </c>
      <c r="C70" s="6" t="s">
        <v>1450</v>
      </c>
      <c r="D70" s="6" t="s">
        <v>103</v>
      </c>
      <c r="E70" s="6" t="s">
        <v>104</v>
      </c>
      <c r="F70" s="6" t="s">
        <v>121</v>
      </c>
      <c r="G70" s="6" t="s">
        <v>80</v>
      </c>
      <c r="H70" s="6"/>
      <c r="I70" s="6" t="s">
        <v>1451</v>
      </c>
      <c r="J70" s="6" t="s">
        <v>1452</v>
      </c>
      <c r="K70" s="6" t="s">
        <v>1453</v>
      </c>
      <c r="L70" s="23"/>
      <c r="M70" s="6" t="s">
        <v>33</v>
      </c>
      <c r="N70" s="6"/>
      <c r="O70" s="6"/>
      <c r="P70" s="24"/>
      <c r="Q70" s="6"/>
      <c r="R70" s="6"/>
      <c r="S70" s="6"/>
    </row>
    <row r="71" spans="1:19" x14ac:dyDescent="0.25">
      <c r="A71" s="22" t="s">
        <v>1454</v>
      </c>
      <c r="B71" s="6" t="s">
        <v>1413</v>
      </c>
      <c r="C71" s="6" t="s">
        <v>1455</v>
      </c>
      <c r="D71" s="6" t="s">
        <v>209</v>
      </c>
      <c r="E71" s="6" t="s">
        <v>113</v>
      </c>
      <c r="F71" s="6" t="s">
        <v>121</v>
      </c>
      <c r="G71" s="6" t="s">
        <v>80</v>
      </c>
      <c r="H71" s="6"/>
      <c r="I71" s="6" t="s">
        <v>1456</v>
      </c>
      <c r="J71" s="6" t="s">
        <v>1457</v>
      </c>
      <c r="K71" s="6" t="s">
        <v>1458</v>
      </c>
      <c r="L71" s="23"/>
      <c r="M71" s="6" t="s">
        <v>33</v>
      </c>
      <c r="N71" s="6"/>
      <c r="O71" s="6"/>
      <c r="P71" s="24"/>
      <c r="Q71" s="6"/>
      <c r="R71" s="6"/>
      <c r="S71" s="6"/>
    </row>
    <row r="72" spans="1:19" x14ac:dyDescent="0.25">
      <c r="A72" s="22" t="s">
        <v>1459</v>
      </c>
      <c r="B72" s="6" t="s">
        <v>1413</v>
      </c>
      <c r="C72" s="6" t="s">
        <v>1460</v>
      </c>
      <c r="D72" s="6" t="s">
        <v>103</v>
      </c>
      <c r="E72" s="6" t="s">
        <v>104</v>
      </c>
      <c r="F72" s="6" t="s">
        <v>105</v>
      </c>
      <c r="G72" s="6" t="s">
        <v>80</v>
      </c>
      <c r="H72" s="6"/>
      <c r="I72" s="6" t="s">
        <v>1143</v>
      </c>
      <c r="J72" s="6" t="s">
        <v>1461</v>
      </c>
      <c r="K72" s="6" t="s">
        <v>1462</v>
      </c>
      <c r="L72" s="23"/>
      <c r="M72" s="6" t="s">
        <v>33</v>
      </c>
      <c r="N72" s="6"/>
      <c r="O72" s="6"/>
      <c r="P72" s="24"/>
      <c r="Q72" s="6"/>
      <c r="R72" s="6"/>
      <c r="S72" s="6"/>
    </row>
    <row r="73" spans="1:19" x14ac:dyDescent="0.25">
      <c r="A73" s="22" t="s">
        <v>1463</v>
      </c>
      <c r="B73" s="6" t="s">
        <v>1413</v>
      </c>
      <c r="C73" s="6" t="s">
        <v>1464</v>
      </c>
      <c r="D73" s="6" t="s">
        <v>112</v>
      </c>
      <c r="E73" s="6" t="s">
        <v>113</v>
      </c>
      <c r="F73" s="6" t="s">
        <v>105</v>
      </c>
      <c r="G73" s="6" t="s">
        <v>80</v>
      </c>
      <c r="H73" s="6"/>
      <c r="I73" s="6" t="s">
        <v>1465</v>
      </c>
      <c r="J73" s="6" t="s">
        <v>1466</v>
      </c>
      <c r="K73" s="6" t="s">
        <v>1467</v>
      </c>
      <c r="L73" s="23"/>
      <c r="M73" s="6" t="s">
        <v>33</v>
      </c>
      <c r="N73" s="6"/>
      <c r="O73" s="6"/>
      <c r="P73" s="24"/>
      <c r="Q73" s="6"/>
      <c r="R73" s="6"/>
      <c r="S73" s="6"/>
    </row>
    <row r="74" spans="1:19" x14ac:dyDescent="0.25">
      <c r="A74" s="22" t="s">
        <v>1468</v>
      </c>
      <c r="B74" s="6" t="s">
        <v>1413</v>
      </c>
      <c r="C74" s="6" t="s">
        <v>1469</v>
      </c>
      <c r="D74" s="6" t="s">
        <v>103</v>
      </c>
      <c r="E74" s="6" t="s">
        <v>104</v>
      </c>
      <c r="F74" s="6" t="s">
        <v>105</v>
      </c>
      <c r="G74" s="6" t="s">
        <v>80</v>
      </c>
      <c r="H74" s="6"/>
      <c r="I74" s="6" t="s">
        <v>1470</v>
      </c>
      <c r="J74" s="6" t="s">
        <v>1471</v>
      </c>
      <c r="K74" s="6" t="s">
        <v>1472</v>
      </c>
      <c r="L74" s="23"/>
      <c r="M74" s="6" t="s">
        <v>33</v>
      </c>
      <c r="N74" s="6"/>
      <c r="O74" s="6"/>
      <c r="P74" s="24"/>
      <c r="Q74" s="6"/>
      <c r="R74" s="6"/>
      <c r="S74" s="6"/>
    </row>
    <row r="75" spans="1:19" x14ac:dyDescent="0.25">
      <c r="A75" s="22" t="s">
        <v>1473</v>
      </c>
      <c r="B75" s="6" t="s">
        <v>1413</v>
      </c>
      <c r="C75" s="6" t="s">
        <v>1474</v>
      </c>
      <c r="D75" s="6" t="s">
        <v>103</v>
      </c>
      <c r="E75" s="6" t="s">
        <v>104</v>
      </c>
      <c r="F75" s="6" t="s">
        <v>105</v>
      </c>
      <c r="G75" s="6" t="s">
        <v>80</v>
      </c>
      <c r="H75" s="6"/>
      <c r="I75" s="6" t="s">
        <v>1475</v>
      </c>
      <c r="J75" s="6" t="s">
        <v>1476</v>
      </c>
      <c r="K75" s="6" t="s">
        <v>1477</v>
      </c>
      <c r="L75" s="23"/>
      <c r="M75" s="6" t="s">
        <v>33</v>
      </c>
      <c r="N75" s="6"/>
      <c r="O75" s="6"/>
      <c r="P75" s="24"/>
      <c r="Q75" s="6"/>
      <c r="R75" s="6"/>
      <c r="S75" s="6"/>
    </row>
    <row r="76" spans="1:19" x14ac:dyDescent="0.25">
      <c r="A76" s="22" t="s">
        <v>1478</v>
      </c>
      <c r="B76" s="6" t="s">
        <v>1413</v>
      </c>
      <c r="C76" s="6" t="s">
        <v>1479</v>
      </c>
      <c r="D76" s="6" t="s">
        <v>112</v>
      </c>
      <c r="E76" s="6" t="s">
        <v>113</v>
      </c>
      <c r="F76" s="6" t="s">
        <v>105</v>
      </c>
      <c r="G76" s="6" t="s">
        <v>80</v>
      </c>
      <c r="H76" s="6"/>
      <c r="I76" s="6" t="s">
        <v>1480</v>
      </c>
      <c r="J76" s="6" t="s">
        <v>1481</v>
      </c>
      <c r="K76" s="6" t="s">
        <v>1482</v>
      </c>
      <c r="L76" s="23"/>
      <c r="M76" s="6" t="s">
        <v>33</v>
      </c>
      <c r="N76" s="6"/>
      <c r="O76" s="6"/>
      <c r="P76" s="24"/>
      <c r="Q76" s="6"/>
      <c r="R76" s="6"/>
      <c r="S76" s="6"/>
    </row>
    <row r="77" spans="1:19" x14ac:dyDescent="0.25">
      <c r="A77" s="22" t="s">
        <v>1483</v>
      </c>
      <c r="B77" s="6" t="s">
        <v>1413</v>
      </c>
      <c r="C77" s="6" t="s">
        <v>1484</v>
      </c>
      <c r="D77" s="6" t="s">
        <v>103</v>
      </c>
      <c r="E77" s="6" t="s">
        <v>113</v>
      </c>
      <c r="F77" s="6" t="s">
        <v>105</v>
      </c>
      <c r="G77" s="6" t="s">
        <v>80</v>
      </c>
      <c r="H77" s="6"/>
      <c r="I77" s="6" t="s">
        <v>1485</v>
      </c>
      <c r="J77" s="6" t="s">
        <v>1486</v>
      </c>
      <c r="K77" s="6" t="s">
        <v>1487</v>
      </c>
      <c r="L77" s="23"/>
      <c r="M77" s="6" t="s">
        <v>33</v>
      </c>
      <c r="N77" s="6"/>
      <c r="O77" s="6"/>
      <c r="P77" s="24"/>
      <c r="Q77" s="6"/>
      <c r="R77" s="6"/>
      <c r="S77" s="6"/>
    </row>
    <row r="78" spans="1:19" x14ac:dyDescent="0.25">
      <c r="A78" s="22" t="s">
        <v>1488</v>
      </c>
      <c r="B78" s="6" t="s">
        <v>1413</v>
      </c>
      <c r="C78" s="6" t="s">
        <v>1489</v>
      </c>
      <c r="D78" s="6" t="s">
        <v>103</v>
      </c>
      <c r="E78" s="6" t="s">
        <v>113</v>
      </c>
      <c r="F78" s="6" t="s">
        <v>105</v>
      </c>
      <c r="G78" s="6" t="s">
        <v>80</v>
      </c>
      <c r="H78" s="6"/>
      <c r="I78" s="6" t="s">
        <v>1490</v>
      </c>
      <c r="J78" s="6" t="s">
        <v>1491</v>
      </c>
      <c r="K78" s="6" t="s">
        <v>1492</v>
      </c>
      <c r="L78" s="23"/>
      <c r="M78" s="6" t="s">
        <v>33</v>
      </c>
      <c r="N78" s="6"/>
      <c r="O78" s="6"/>
      <c r="P78" s="24"/>
      <c r="Q78" s="6"/>
      <c r="R78" s="6"/>
      <c r="S78" s="6"/>
    </row>
    <row r="79" spans="1:19" x14ac:dyDescent="0.25">
      <c r="A79" s="22" t="s">
        <v>1493</v>
      </c>
      <c r="B79" s="6" t="s">
        <v>1413</v>
      </c>
      <c r="C79" s="6" t="s">
        <v>1494</v>
      </c>
      <c r="D79" s="6" t="s">
        <v>103</v>
      </c>
      <c r="E79" s="6" t="s">
        <v>113</v>
      </c>
      <c r="F79" s="6" t="s">
        <v>121</v>
      </c>
      <c r="G79" s="6" t="s">
        <v>78</v>
      </c>
      <c r="H79" s="6"/>
      <c r="I79" s="6" t="s">
        <v>1415</v>
      </c>
      <c r="J79" s="6" t="s">
        <v>1495</v>
      </c>
      <c r="K79" s="6" t="s">
        <v>1496</v>
      </c>
      <c r="L79" s="23"/>
      <c r="M79" s="6" t="s">
        <v>33</v>
      </c>
      <c r="N79" s="6"/>
      <c r="O79" s="6"/>
      <c r="P79" s="24"/>
      <c r="Q79" s="6"/>
      <c r="R79" s="6"/>
      <c r="S79" s="6"/>
    </row>
    <row r="80" spans="1:19" x14ac:dyDescent="0.25">
      <c r="A80" s="22" t="s">
        <v>1497</v>
      </c>
      <c r="B80" s="6" t="s">
        <v>1413</v>
      </c>
      <c r="C80" s="6" t="s">
        <v>1498</v>
      </c>
      <c r="D80" s="6" t="s">
        <v>103</v>
      </c>
      <c r="E80" s="6" t="s">
        <v>113</v>
      </c>
      <c r="F80" s="6" t="s">
        <v>105</v>
      </c>
      <c r="G80" s="6" t="s">
        <v>80</v>
      </c>
      <c r="H80" s="6"/>
      <c r="I80" s="6" t="s">
        <v>1143</v>
      </c>
      <c r="J80" s="6" t="s">
        <v>1499</v>
      </c>
      <c r="K80" s="6" t="s">
        <v>1500</v>
      </c>
      <c r="L80" s="23"/>
      <c r="M80" s="6" t="s">
        <v>33</v>
      </c>
      <c r="N80" s="6"/>
      <c r="O80" s="6"/>
      <c r="P80" s="24"/>
      <c r="Q80" s="6"/>
      <c r="R80" s="6"/>
      <c r="S80" s="6"/>
    </row>
    <row r="81" spans="1:19" x14ac:dyDescent="0.25">
      <c r="A81" s="22" t="s">
        <v>1501</v>
      </c>
      <c r="B81" s="6" t="s">
        <v>1413</v>
      </c>
      <c r="C81" s="6" t="s">
        <v>1502</v>
      </c>
      <c r="D81" s="6" t="s">
        <v>103</v>
      </c>
      <c r="E81" s="6" t="s">
        <v>145</v>
      </c>
      <c r="F81" s="6" t="s">
        <v>121</v>
      </c>
      <c r="G81" s="6" t="s">
        <v>80</v>
      </c>
      <c r="H81" s="6"/>
      <c r="I81" s="6" t="s">
        <v>1503</v>
      </c>
      <c r="J81" s="6" t="s">
        <v>1504</v>
      </c>
      <c r="K81" s="6" t="s">
        <v>1505</v>
      </c>
      <c r="L81" s="23"/>
      <c r="M81" s="6" t="s">
        <v>33</v>
      </c>
      <c r="N81" s="6"/>
      <c r="O81" s="6"/>
      <c r="P81" s="24"/>
      <c r="Q81" s="6"/>
      <c r="R81" s="6"/>
      <c r="S81" s="6"/>
    </row>
    <row r="82" spans="1:19" x14ac:dyDescent="0.25">
      <c r="A82" s="22" t="s">
        <v>1506</v>
      </c>
      <c r="B82" s="6" t="s">
        <v>1507</v>
      </c>
      <c r="C82" s="6" t="s">
        <v>1508</v>
      </c>
      <c r="D82" s="6" t="s">
        <v>103</v>
      </c>
      <c r="E82" s="6" t="s">
        <v>104</v>
      </c>
      <c r="F82" s="6" t="s">
        <v>121</v>
      </c>
      <c r="G82" s="6" t="s">
        <v>80</v>
      </c>
      <c r="H82" s="6"/>
      <c r="I82" s="6" t="s">
        <v>1509</v>
      </c>
      <c r="J82" s="6" t="s">
        <v>1510</v>
      </c>
      <c r="K82" s="6" t="s">
        <v>1511</v>
      </c>
      <c r="L82" s="23" t="s">
        <v>1512</v>
      </c>
      <c r="M82" s="6" t="s">
        <v>33</v>
      </c>
      <c r="N82" s="6"/>
      <c r="O82" s="6"/>
      <c r="P82" s="24"/>
      <c r="Q82" s="6"/>
      <c r="R82" s="6"/>
      <c r="S82" s="6"/>
    </row>
    <row r="83" spans="1:19" x14ac:dyDescent="0.25">
      <c r="A83" s="22" t="s">
        <v>1513</v>
      </c>
      <c r="B83" s="6" t="s">
        <v>1507</v>
      </c>
      <c r="C83" s="6" t="s">
        <v>1514</v>
      </c>
      <c r="D83" s="6" t="s">
        <v>103</v>
      </c>
      <c r="E83" s="6" t="s">
        <v>104</v>
      </c>
      <c r="F83" s="6" t="s">
        <v>121</v>
      </c>
      <c r="G83" s="6" t="s">
        <v>80</v>
      </c>
      <c r="H83" s="6"/>
      <c r="I83" s="6" t="s">
        <v>1515</v>
      </c>
      <c r="J83" s="6" t="s">
        <v>1516</v>
      </c>
      <c r="K83" s="6" t="s">
        <v>1517</v>
      </c>
      <c r="L83" s="23"/>
      <c r="M83" s="6" t="s">
        <v>33</v>
      </c>
      <c r="N83" s="6"/>
      <c r="O83" s="6"/>
      <c r="P83" s="24"/>
      <c r="Q83" s="6"/>
      <c r="R83" s="6"/>
      <c r="S83" s="6"/>
    </row>
    <row r="84" spans="1:19" x14ac:dyDescent="0.25">
      <c r="A84" s="22" t="s">
        <v>1518</v>
      </c>
      <c r="B84" s="6" t="s">
        <v>1507</v>
      </c>
      <c r="C84" s="6" t="s">
        <v>1519</v>
      </c>
      <c r="D84" s="6" t="s">
        <v>112</v>
      </c>
      <c r="E84" s="6" t="s">
        <v>113</v>
      </c>
      <c r="F84" s="6" t="s">
        <v>121</v>
      </c>
      <c r="G84" s="6" t="s">
        <v>80</v>
      </c>
      <c r="H84" s="6"/>
      <c r="I84" s="6" t="s">
        <v>1143</v>
      </c>
      <c r="J84" s="6" t="s">
        <v>1520</v>
      </c>
      <c r="K84" s="6" t="s">
        <v>1521</v>
      </c>
      <c r="L84" s="23"/>
      <c r="M84" s="6" t="s">
        <v>33</v>
      </c>
      <c r="N84" s="6"/>
      <c r="O84" s="6"/>
      <c r="P84" s="24"/>
      <c r="Q84" s="6"/>
      <c r="R84" s="6"/>
      <c r="S84" s="6"/>
    </row>
    <row r="85" spans="1:19" x14ac:dyDescent="0.25">
      <c r="A85" s="22" t="s">
        <v>1522</v>
      </c>
      <c r="B85" s="6" t="s">
        <v>1507</v>
      </c>
      <c r="C85" s="6" t="s">
        <v>1523</v>
      </c>
      <c r="D85" s="6" t="s">
        <v>112</v>
      </c>
      <c r="E85" s="6" t="s">
        <v>145</v>
      </c>
      <c r="F85" s="6" t="s">
        <v>121</v>
      </c>
      <c r="G85" s="6" t="s">
        <v>80</v>
      </c>
      <c r="H85" s="6"/>
      <c r="I85" s="6" t="s">
        <v>1524</v>
      </c>
      <c r="J85" s="6" t="s">
        <v>1525</v>
      </c>
      <c r="K85" s="6" t="s">
        <v>1526</v>
      </c>
      <c r="L85" s="23"/>
      <c r="M85" s="6" t="s">
        <v>33</v>
      </c>
      <c r="N85" s="6"/>
      <c r="O85" s="6"/>
      <c r="P85" s="24"/>
      <c r="Q85" s="6"/>
      <c r="R85" s="6"/>
      <c r="S85" s="6"/>
    </row>
    <row r="86" spans="1:19" x14ac:dyDescent="0.25">
      <c r="A86" s="22" t="s">
        <v>1527</v>
      </c>
      <c r="B86" s="6" t="s">
        <v>1528</v>
      </c>
      <c r="C86" s="6" t="s">
        <v>1529</v>
      </c>
      <c r="D86" s="6" t="s">
        <v>103</v>
      </c>
      <c r="E86" s="6" t="s">
        <v>104</v>
      </c>
      <c r="F86" s="6" t="s">
        <v>121</v>
      </c>
      <c r="G86" s="6" t="s">
        <v>78</v>
      </c>
      <c r="H86" s="6"/>
      <c r="I86" s="6" t="s">
        <v>1415</v>
      </c>
      <c r="J86" s="6" t="s">
        <v>1530</v>
      </c>
      <c r="K86" s="6" t="s">
        <v>1531</v>
      </c>
      <c r="L86" s="23"/>
      <c r="M86" s="6" t="s">
        <v>33</v>
      </c>
      <c r="N86" s="6"/>
      <c r="O86" s="6"/>
      <c r="P86" s="24"/>
      <c r="Q86" s="6"/>
      <c r="R86" s="6"/>
      <c r="S86" s="6"/>
    </row>
    <row r="87" spans="1:19" x14ac:dyDescent="0.25">
      <c r="A87" s="22" t="s">
        <v>1532</v>
      </c>
      <c r="B87" s="6" t="s">
        <v>1528</v>
      </c>
      <c r="C87" s="6" t="s">
        <v>1533</v>
      </c>
      <c r="D87" s="6" t="s">
        <v>103</v>
      </c>
      <c r="E87" s="6" t="s">
        <v>104</v>
      </c>
      <c r="F87" s="6" t="s">
        <v>105</v>
      </c>
      <c r="G87" s="6" t="s">
        <v>79</v>
      </c>
      <c r="H87" s="6"/>
      <c r="I87" s="6" t="s">
        <v>1534</v>
      </c>
      <c r="J87" s="6" t="s">
        <v>1535</v>
      </c>
      <c r="K87" s="6" t="s">
        <v>1536</v>
      </c>
      <c r="L87" s="23"/>
      <c r="M87" s="6" t="s">
        <v>33</v>
      </c>
      <c r="N87" s="6"/>
      <c r="O87" s="6"/>
      <c r="P87" s="24"/>
      <c r="Q87" s="6"/>
      <c r="R87" s="6"/>
      <c r="S87" s="6"/>
    </row>
    <row r="88" spans="1:19" x14ac:dyDescent="0.25">
      <c r="A88" s="22" t="s">
        <v>1537</v>
      </c>
      <c r="B88" s="6" t="s">
        <v>1528</v>
      </c>
      <c r="C88" s="6" t="s">
        <v>1538</v>
      </c>
      <c r="D88" s="6" t="s">
        <v>103</v>
      </c>
      <c r="E88" s="6" t="s">
        <v>113</v>
      </c>
      <c r="F88" s="6" t="s">
        <v>105</v>
      </c>
      <c r="G88" s="6" t="s">
        <v>80</v>
      </c>
      <c r="H88" s="6"/>
      <c r="I88" s="6" t="s">
        <v>1539</v>
      </c>
      <c r="J88" s="6" t="s">
        <v>1540</v>
      </c>
      <c r="K88" s="6" t="s">
        <v>1541</v>
      </c>
      <c r="L88" s="23"/>
      <c r="M88" s="6" t="s">
        <v>33</v>
      </c>
      <c r="N88" s="6"/>
      <c r="O88" s="6"/>
      <c r="P88" s="24"/>
      <c r="Q88" s="6"/>
      <c r="R88" s="6"/>
      <c r="S88" s="6"/>
    </row>
    <row r="89" spans="1:19" x14ac:dyDescent="0.25">
      <c r="A89" s="22" t="s">
        <v>1542</v>
      </c>
      <c r="B89" s="6" t="s">
        <v>1528</v>
      </c>
      <c r="C89" s="6" t="s">
        <v>1543</v>
      </c>
      <c r="D89" s="6" t="s">
        <v>209</v>
      </c>
      <c r="E89" s="6" t="s">
        <v>104</v>
      </c>
      <c r="F89" s="6" t="s">
        <v>105</v>
      </c>
      <c r="G89" s="6" t="s">
        <v>80</v>
      </c>
      <c r="H89" s="6"/>
      <c r="I89" s="6" t="s">
        <v>1143</v>
      </c>
      <c r="J89" s="6" t="s">
        <v>1544</v>
      </c>
      <c r="K89" s="6" t="s">
        <v>1545</v>
      </c>
      <c r="L89" s="23"/>
      <c r="M89" s="6" t="s">
        <v>33</v>
      </c>
      <c r="N89" s="6"/>
      <c r="O89" s="6"/>
      <c r="P89" s="24"/>
      <c r="Q89" s="6"/>
      <c r="R89" s="6"/>
      <c r="S89" s="6"/>
    </row>
    <row r="90" spans="1:19" x14ac:dyDescent="0.25">
      <c r="A90" s="22" t="s">
        <v>1546</v>
      </c>
      <c r="B90" s="6" t="s">
        <v>1528</v>
      </c>
      <c r="C90" s="6" t="s">
        <v>1547</v>
      </c>
      <c r="D90" s="6" t="s">
        <v>112</v>
      </c>
      <c r="E90" s="6" t="s">
        <v>113</v>
      </c>
      <c r="F90" s="6" t="s">
        <v>105</v>
      </c>
      <c r="G90" s="6" t="s">
        <v>80</v>
      </c>
      <c r="H90" s="6"/>
      <c r="I90" s="6" t="s">
        <v>1548</v>
      </c>
      <c r="J90" s="6" t="s">
        <v>1549</v>
      </c>
      <c r="K90" s="6" t="s">
        <v>1550</v>
      </c>
      <c r="L90" s="23"/>
      <c r="M90" s="6" t="s">
        <v>33</v>
      </c>
      <c r="N90" s="6"/>
      <c r="O90" s="6"/>
      <c r="P90" s="24"/>
      <c r="Q90" s="6"/>
      <c r="R90" s="6"/>
      <c r="S90" s="6"/>
    </row>
    <row r="91" spans="1:19" x14ac:dyDescent="0.25">
      <c r="A91" s="22" t="s">
        <v>1551</v>
      </c>
      <c r="B91" s="6" t="s">
        <v>1528</v>
      </c>
      <c r="C91" s="6" t="s">
        <v>1552</v>
      </c>
      <c r="D91" s="6" t="s">
        <v>103</v>
      </c>
      <c r="E91" s="6" t="s">
        <v>104</v>
      </c>
      <c r="F91" s="6" t="s">
        <v>121</v>
      </c>
      <c r="G91" s="6" t="s">
        <v>80</v>
      </c>
      <c r="H91" s="6"/>
      <c r="I91" s="6" t="s">
        <v>1553</v>
      </c>
      <c r="J91" s="6" t="s">
        <v>1554</v>
      </c>
      <c r="K91" s="6" t="s">
        <v>1555</v>
      </c>
      <c r="L91" s="23"/>
      <c r="M91" s="6" t="s">
        <v>33</v>
      </c>
      <c r="N91" s="6"/>
      <c r="O91" s="6"/>
      <c r="P91" s="24"/>
      <c r="Q91" s="6"/>
      <c r="R91" s="6"/>
      <c r="S91" s="6"/>
    </row>
    <row r="92" spans="1:19" x14ac:dyDescent="0.25">
      <c r="A92" s="22" t="s">
        <v>1556</v>
      </c>
      <c r="B92" s="6" t="s">
        <v>1528</v>
      </c>
      <c r="C92" s="6" t="s">
        <v>1557</v>
      </c>
      <c r="D92" s="6" t="s">
        <v>103</v>
      </c>
      <c r="E92" s="6" t="s">
        <v>113</v>
      </c>
      <c r="F92" s="6" t="s">
        <v>105</v>
      </c>
      <c r="G92" s="6" t="s">
        <v>80</v>
      </c>
      <c r="H92" s="6"/>
      <c r="I92" s="6" t="s">
        <v>1558</v>
      </c>
      <c r="J92" s="6" t="s">
        <v>1559</v>
      </c>
      <c r="K92" s="6" t="s">
        <v>1560</v>
      </c>
      <c r="L92" s="23"/>
      <c r="M92" s="6" t="s">
        <v>33</v>
      </c>
      <c r="N92" s="6"/>
      <c r="O92" s="6"/>
      <c r="P92" s="24"/>
      <c r="Q92" s="6"/>
      <c r="R92" s="6"/>
      <c r="S92" s="6"/>
    </row>
    <row r="93" spans="1:19" x14ac:dyDescent="0.25">
      <c r="A93" s="22" t="s">
        <v>1561</v>
      </c>
      <c r="B93" s="6" t="s">
        <v>1528</v>
      </c>
      <c r="C93" s="6" t="s">
        <v>1562</v>
      </c>
      <c r="D93" s="6" t="s">
        <v>103</v>
      </c>
      <c r="E93" s="6" t="s">
        <v>113</v>
      </c>
      <c r="F93" s="6" t="s">
        <v>121</v>
      </c>
      <c r="G93" s="6" t="s">
        <v>80</v>
      </c>
      <c r="H93" s="6"/>
      <c r="I93" s="6" t="s">
        <v>1563</v>
      </c>
      <c r="J93" s="6" t="s">
        <v>1564</v>
      </c>
      <c r="K93" s="6" t="s">
        <v>1565</v>
      </c>
      <c r="L93" s="23" t="s">
        <v>1566</v>
      </c>
      <c r="M93" s="6" t="s">
        <v>33</v>
      </c>
      <c r="N93" s="6"/>
      <c r="O93" s="6"/>
      <c r="P93" s="24"/>
      <c r="Q93" s="6"/>
      <c r="R93" s="6"/>
      <c r="S93" s="6"/>
    </row>
    <row r="94" spans="1:19" x14ac:dyDescent="0.25">
      <c r="A94" s="22" t="s">
        <v>1567</v>
      </c>
      <c r="B94" s="6" t="s">
        <v>1568</v>
      </c>
      <c r="C94" s="6" t="s">
        <v>1569</v>
      </c>
      <c r="D94" s="6" t="s">
        <v>103</v>
      </c>
      <c r="E94" s="6" t="s">
        <v>113</v>
      </c>
      <c r="F94" s="6" t="s">
        <v>121</v>
      </c>
      <c r="G94" s="6" t="s">
        <v>80</v>
      </c>
      <c r="H94" s="6"/>
      <c r="I94" s="6" t="s">
        <v>1570</v>
      </c>
      <c r="J94" s="6" t="s">
        <v>1571</v>
      </c>
      <c r="K94" s="6" t="s">
        <v>1572</v>
      </c>
      <c r="L94" s="23"/>
      <c r="M94" s="6" t="s">
        <v>33</v>
      </c>
      <c r="N94" s="6"/>
      <c r="O94" s="6"/>
      <c r="P94" s="24"/>
      <c r="Q94" s="6"/>
      <c r="R94" s="6"/>
      <c r="S94" s="6"/>
    </row>
    <row r="95" spans="1:19" x14ac:dyDescent="0.25">
      <c r="A95" s="22" t="s">
        <v>1573</v>
      </c>
      <c r="B95" s="6" t="s">
        <v>1574</v>
      </c>
      <c r="C95" s="6" t="s">
        <v>1575</v>
      </c>
      <c r="D95" s="6" t="s">
        <v>103</v>
      </c>
      <c r="E95" s="6" t="s">
        <v>104</v>
      </c>
      <c r="F95" s="6" t="s">
        <v>105</v>
      </c>
      <c r="G95" s="6" t="s">
        <v>80</v>
      </c>
      <c r="H95" s="6"/>
      <c r="I95" s="6" t="s">
        <v>1576</v>
      </c>
      <c r="J95" s="6" t="s">
        <v>1577</v>
      </c>
      <c r="K95" s="6" t="s">
        <v>1578</v>
      </c>
      <c r="L95" s="23"/>
      <c r="M95" s="6" t="s">
        <v>33</v>
      </c>
      <c r="N95" s="6"/>
      <c r="O95" s="6"/>
      <c r="P95" s="24"/>
      <c r="Q95" s="6"/>
      <c r="R95" s="6"/>
      <c r="S95" s="6"/>
    </row>
    <row r="96" spans="1:19" x14ac:dyDescent="0.25">
      <c r="A96" s="22" t="s">
        <v>1579</v>
      </c>
      <c r="B96" s="6" t="s">
        <v>1574</v>
      </c>
      <c r="C96" s="6" t="s">
        <v>1580</v>
      </c>
      <c r="D96" s="6" t="s">
        <v>112</v>
      </c>
      <c r="E96" s="6" t="s">
        <v>104</v>
      </c>
      <c r="F96" s="6" t="s">
        <v>105</v>
      </c>
      <c r="G96" s="6" t="s">
        <v>80</v>
      </c>
      <c r="H96" s="6"/>
      <c r="I96" s="6" t="s">
        <v>1581</v>
      </c>
      <c r="J96" s="6" t="s">
        <v>1582</v>
      </c>
      <c r="K96" s="6" t="s">
        <v>1583</v>
      </c>
      <c r="L96" s="23"/>
      <c r="M96" s="6" t="s">
        <v>33</v>
      </c>
      <c r="N96" s="6"/>
      <c r="O96" s="6"/>
      <c r="P96" s="24"/>
      <c r="Q96" s="6"/>
      <c r="R96" s="6"/>
      <c r="S96" s="6"/>
    </row>
    <row r="97" spans="1:19" x14ac:dyDescent="0.25">
      <c r="A97" s="22" t="s">
        <v>1584</v>
      </c>
      <c r="B97" s="6" t="s">
        <v>1574</v>
      </c>
      <c r="C97" s="6" t="s">
        <v>1585</v>
      </c>
      <c r="D97" s="6" t="s">
        <v>103</v>
      </c>
      <c r="E97" s="6" t="s">
        <v>113</v>
      </c>
      <c r="F97" s="6" t="s">
        <v>121</v>
      </c>
      <c r="G97" s="6" t="s">
        <v>80</v>
      </c>
      <c r="H97" s="6"/>
      <c r="I97" s="6" t="s">
        <v>1586</v>
      </c>
      <c r="J97" s="6" t="s">
        <v>1587</v>
      </c>
      <c r="K97" s="6" t="s">
        <v>1588</v>
      </c>
      <c r="L97" s="23"/>
      <c r="M97" s="6" t="s">
        <v>33</v>
      </c>
      <c r="N97" s="6"/>
      <c r="O97" s="6"/>
      <c r="P97" s="24"/>
      <c r="Q97" s="6"/>
      <c r="R97" s="6"/>
      <c r="S97" s="6"/>
    </row>
    <row r="98" spans="1:19" x14ac:dyDescent="0.25">
      <c r="A98" s="22" t="s">
        <v>1589</v>
      </c>
      <c r="B98" s="6" t="s">
        <v>1574</v>
      </c>
      <c r="C98" s="6" t="s">
        <v>1590</v>
      </c>
      <c r="D98" s="6" t="s">
        <v>112</v>
      </c>
      <c r="E98" s="6" t="s">
        <v>113</v>
      </c>
      <c r="F98" s="6" t="s">
        <v>105</v>
      </c>
      <c r="G98" s="6" t="s">
        <v>80</v>
      </c>
      <c r="H98" s="6"/>
      <c r="I98" s="6" t="s">
        <v>1143</v>
      </c>
      <c r="J98" s="6" t="s">
        <v>1591</v>
      </c>
      <c r="K98" s="6" t="s">
        <v>1592</v>
      </c>
      <c r="L98" s="23"/>
      <c r="M98" s="6" t="s">
        <v>33</v>
      </c>
      <c r="N98" s="6"/>
      <c r="O98" s="6"/>
      <c r="P98" s="24"/>
      <c r="Q98" s="6"/>
      <c r="R98" s="6"/>
      <c r="S98" s="6"/>
    </row>
    <row r="99" spans="1:19" x14ac:dyDescent="0.25">
      <c r="A99" s="22" t="s">
        <v>1593</v>
      </c>
      <c r="B99" s="6" t="s">
        <v>1574</v>
      </c>
      <c r="C99" s="6" t="s">
        <v>1594</v>
      </c>
      <c r="D99" s="6" t="s">
        <v>140</v>
      </c>
      <c r="E99" s="6" t="s">
        <v>113</v>
      </c>
      <c r="F99" s="6" t="s">
        <v>105</v>
      </c>
      <c r="G99" s="6" t="s">
        <v>80</v>
      </c>
      <c r="H99" s="6"/>
      <c r="I99" s="6" t="s">
        <v>1595</v>
      </c>
      <c r="J99" s="6" t="s">
        <v>1596</v>
      </c>
      <c r="K99" s="6" t="s">
        <v>1597</v>
      </c>
      <c r="L99" s="23"/>
      <c r="M99" s="6" t="s">
        <v>33</v>
      </c>
      <c r="N99" s="6"/>
      <c r="O99" s="6"/>
      <c r="P99" s="24"/>
      <c r="Q99" s="6"/>
      <c r="R99" s="6"/>
      <c r="S99" s="6"/>
    </row>
    <row r="100" spans="1:19" x14ac:dyDescent="0.25">
      <c r="A100" s="22" t="s">
        <v>1598</v>
      </c>
      <c r="B100" s="6" t="s">
        <v>1574</v>
      </c>
      <c r="C100" s="6" t="s">
        <v>1599</v>
      </c>
      <c r="D100" s="6" t="s">
        <v>103</v>
      </c>
      <c r="E100" s="6" t="s">
        <v>145</v>
      </c>
      <c r="F100" s="6" t="s">
        <v>121</v>
      </c>
      <c r="G100" s="6" t="s">
        <v>80</v>
      </c>
      <c r="H100" s="6"/>
      <c r="I100" s="6" t="s">
        <v>1600</v>
      </c>
      <c r="J100" s="6" t="s">
        <v>1601</v>
      </c>
      <c r="K100" s="6" t="s">
        <v>1602</v>
      </c>
      <c r="L100" s="23"/>
      <c r="M100" s="6" t="s">
        <v>33</v>
      </c>
      <c r="N100" s="6"/>
      <c r="O100" s="6"/>
      <c r="P100" s="24"/>
      <c r="Q100" s="6"/>
      <c r="R100" s="6"/>
      <c r="S100" s="6"/>
    </row>
    <row r="101" spans="1:19" x14ac:dyDescent="0.25">
      <c r="A101" s="22" t="s">
        <v>1603</v>
      </c>
      <c r="B101" s="6" t="s">
        <v>1604</v>
      </c>
      <c r="C101" s="6" t="s">
        <v>1605</v>
      </c>
      <c r="D101" s="6" t="s">
        <v>103</v>
      </c>
      <c r="E101" s="6" t="s">
        <v>113</v>
      </c>
      <c r="F101" s="6" t="s">
        <v>121</v>
      </c>
      <c r="G101" s="6" t="s">
        <v>80</v>
      </c>
      <c r="H101" s="6"/>
      <c r="I101" s="6" t="s">
        <v>1606</v>
      </c>
      <c r="J101" s="6" t="s">
        <v>1607</v>
      </c>
      <c r="K101" s="6" t="s">
        <v>1608</v>
      </c>
      <c r="L101" s="23"/>
      <c r="M101" s="6" t="s">
        <v>33</v>
      </c>
      <c r="N101" s="6"/>
      <c r="O101" s="6"/>
      <c r="P101" s="24"/>
      <c r="Q101" s="6"/>
      <c r="R101" s="6"/>
      <c r="S101" s="6"/>
    </row>
    <row r="102" spans="1:19" x14ac:dyDescent="0.25">
      <c r="A102" s="22" t="s">
        <v>1609</v>
      </c>
      <c r="B102" s="6" t="s">
        <v>1604</v>
      </c>
      <c r="C102" s="6" t="s">
        <v>1610</v>
      </c>
      <c r="D102" s="6" t="s">
        <v>103</v>
      </c>
      <c r="E102" s="6" t="s">
        <v>104</v>
      </c>
      <c r="F102" s="6" t="s">
        <v>105</v>
      </c>
      <c r="G102" s="6" t="s">
        <v>80</v>
      </c>
      <c r="H102" s="6"/>
      <c r="I102" s="6" t="s">
        <v>1611</v>
      </c>
      <c r="J102" s="6" t="s">
        <v>1612</v>
      </c>
      <c r="K102" s="6" t="s">
        <v>1613</v>
      </c>
      <c r="L102" s="23"/>
      <c r="M102" s="6" t="s">
        <v>33</v>
      </c>
      <c r="N102" s="6"/>
      <c r="O102" s="6"/>
      <c r="P102" s="24"/>
      <c r="Q102" s="6"/>
      <c r="R102" s="6"/>
      <c r="S102" s="6"/>
    </row>
    <row r="103" spans="1:19" x14ac:dyDescent="0.25">
      <c r="A103" s="22" t="s">
        <v>1614</v>
      </c>
      <c r="B103" s="6" t="s">
        <v>1604</v>
      </c>
      <c r="C103" s="6" t="s">
        <v>1615</v>
      </c>
      <c r="D103" s="6" t="s">
        <v>209</v>
      </c>
      <c r="E103" s="6" t="s">
        <v>104</v>
      </c>
      <c r="F103" s="6" t="s">
        <v>105</v>
      </c>
      <c r="G103" s="6" t="s">
        <v>80</v>
      </c>
      <c r="H103" s="6"/>
      <c r="I103" s="6" t="s">
        <v>1143</v>
      </c>
      <c r="J103" s="6" t="s">
        <v>1616</v>
      </c>
      <c r="K103" s="6" t="s">
        <v>1617</v>
      </c>
      <c r="L103" s="23"/>
      <c r="M103" s="6" t="s">
        <v>33</v>
      </c>
      <c r="N103" s="6"/>
      <c r="O103" s="6"/>
      <c r="P103" s="24"/>
      <c r="Q103" s="6"/>
      <c r="R103" s="6"/>
      <c r="S103" s="6"/>
    </row>
    <row r="104" spans="1:19" x14ac:dyDescent="0.25">
      <c r="A104" s="22" t="s">
        <v>1618</v>
      </c>
      <c r="B104" s="6" t="s">
        <v>1604</v>
      </c>
      <c r="C104" s="6" t="s">
        <v>1619</v>
      </c>
      <c r="D104" s="6" t="s">
        <v>112</v>
      </c>
      <c r="E104" s="6" t="s">
        <v>104</v>
      </c>
      <c r="F104" s="6" t="s">
        <v>105</v>
      </c>
      <c r="G104" s="6" t="s">
        <v>80</v>
      </c>
      <c r="H104" s="6"/>
      <c r="I104" s="6" t="s">
        <v>1620</v>
      </c>
      <c r="J104" s="6" t="s">
        <v>1621</v>
      </c>
      <c r="K104" s="6" t="s">
        <v>1622</v>
      </c>
      <c r="L104" s="23"/>
      <c r="M104" s="6" t="s">
        <v>33</v>
      </c>
      <c r="N104" s="6"/>
      <c r="O104" s="6"/>
      <c r="P104" s="24"/>
      <c r="Q104" s="6"/>
      <c r="R104" s="6"/>
      <c r="S104" s="6"/>
    </row>
    <row r="105" spans="1:19" x14ac:dyDescent="0.25">
      <c r="A105" s="22" t="s">
        <v>1623</v>
      </c>
      <c r="B105" s="6" t="s">
        <v>1604</v>
      </c>
      <c r="C105" s="6" t="s">
        <v>1624</v>
      </c>
      <c r="D105" s="6" t="s">
        <v>209</v>
      </c>
      <c r="E105" s="6" t="s">
        <v>113</v>
      </c>
      <c r="F105" s="6" t="s">
        <v>105</v>
      </c>
      <c r="G105" s="6" t="s">
        <v>80</v>
      </c>
      <c r="H105" s="6"/>
      <c r="I105" s="6" t="s">
        <v>1143</v>
      </c>
      <c r="J105" s="6" t="s">
        <v>1625</v>
      </c>
      <c r="K105" s="6" t="s">
        <v>1626</v>
      </c>
      <c r="L105" s="23"/>
      <c r="M105" s="6" t="s">
        <v>33</v>
      </c>
      <c r="N105" s="6"/>
      <c r="O105" s="6"/>
      <c r="P105" s="24"/>
      <c r="Q105" s="6"/>
      <c r="R105" s="6"/>
      <c r="S105" s="6"/>
    </row>
    <row r="106" spans="1:19" x14ac:dyDescent="0.25">
      <c r="A106" s="22" t="s">
        <v>1627</v>
      </c>
      <c r="B106" s="6" t="s">
        <v>1604</v>
      </c>
      <c r="C106" s="6" t="s">
        <v>1628</v>
      </c>
      <c r="D106" s="6" t="s">
        <v>103</v>
      </c>
      <c r="E106" s="6" t="s">
        <v>113</v>
      </c>
      <c r="F106" s="6" t="s">
        <v>105</v>
      </c>
      <c r="G106" s="6" t="s">
        <v>80</v>
      </c>
      <c r="H106" s="6"/>
      <c r="I106" s="6" t="s">
        <v>1629</v>
      </c>
      <c r="J106" s="6" t="s">
        <v>1630</v>
      </c>
      <c r="K106" s="6" t="s">
        <v>1631</v>
      </c>
      <c r="L106" s="23"/>
      <c r="M106" s="6" t="s">
        <v>33</v>
      </c>
      <c r="N106" s="6"/>
      <c r="O106" s="6"/>
      <c r="P106" s="24"/>
      <c r="Q106" s="6"/>
      <c r="R106" s="6"/>
      <c r="S106" s="6"/>
    </row>
    <row r="107" spans="1:19" x14ac:dyDescent="0.25">
      <c r="A107" s="22" t="s">
        <v>1632</v>
      </c>
      <c r="B107" s="6" t="s">
        <v>1604</v>
      </c>
      <c r="C107" s="6" t="s">
        <v>1633</v>
      </c>
      <c r="D107" s="6" t="s">
        <v>103</v>
      </c>
      <c r="E107" s="6" t="s">
        <v>113</v>
      </c>
      <c r="F107" s="6" t="s">
        <v>105</v>
      </c>
      <c r="G107" s="6" t="s">
        <v>80</v>
      </c>
      <c r="H107" s="6"/>
      <c r="I107" s="6" t="s">
        <v>1634</v>
      </c>
      <c r="J107" s="6" t="s">
        <v>1635</v>
      </c>
      <c r="K107" s="6" t="s">
        <v>1636</v>
      </c>
      <c r="L107" s="23"/>
      <c r="M107" s="6" t="s">
        <v>33</v>
      </c>
      <c r="N107" s="6"/>
      <c r="O107" s="6"/>
      <c r="P107" s="24"/>
      <c r="Q107" s="6"/>
      <c r="R107" s="6"/>
      <c r="S107" s="6"/>
    </row>
    <row r="108" spans="1:19" x14ac:dyDescent="0.25">
      <c r="A108" s="22" t="s">
        <v>1637</v>
      </c>
      <c r="B108" s="6" t="s">
        <v>866</v>
      </c>
      <c r="C108" s="6" t="s">
        <v>1638</v>
      </c>
      <c r="D108" s="6" t="s">
        <v>103</v>
      </c>
      <c r="E108" s="6" t="s">
        <v>104</v>
      </c>
      <c r="F108" s="6" t="s">
        <v>121</v>
      </c>
      <c r="G108" s="6" t="s">
        <v>80</v>
      </c>
      <c r="H108" s="6"/>
      <c r="I108" s="6" t="s">
        <v>1143</v>
      </c>
      <c r="J108" s="6" t="s">
        <v>1639</v>
      </c>
      <c r="K108" s="6" t="s">
        <v>1640</v>
      </c>
      <c r="L108" s="23"/>
      <c r="M108" s="6" t="s">
        <v>33</v>
      </c>
      <c r="N108" s="6"/>
      <c r="O108" s="6"/>
      <c r="P108" s="24"/>
      <c r="Q108" s="6"/>
      <c r="R108" s="6"/>
      <c r="S108" s="6"/>
    </row>
    <row r="109" spans="1:19" x14ac:dyDescent="0.25">
      <c r="A109" s="22" t="s">
        <v>1641</v>
      </c>
      <c r="B109" s="6" t="s">
        <v>866</v>
      </c>
      <c r="C109" s="6" t="s">
        <v>1642</v>
      </c>
      <c r="D109" s="6" t="s">
        <v>103</v>
      </c>
      <c r="E109" s="6" t="s">
        <v>104</v>
      </c>
      <c r="F109" s="6" t="s">
        <v>105</v>
      </c>
      <c r="G109" s="6" t="s">
        <v>80</v>
      </c>
      <c r="H109" s="6"/>
      <c r="I109" s="6" t="s">
        <v>1643</v>
      </c>
      <c r="J109" s="6" t="s">
        <v>1644</v>
      </c>
      <c r="K109" s="6" t="s">
        <v>1645</v>
      </c>
      <c r="L109" s="23"/>
      <c r="M109" s="6" t="s">
        <v>33</v>
      </c>
      <c r="N109" s="6"/>
      <c r="O109" s="6"/>
      <c r="P109" s="24"/>
      <c r="Q109" s="6"/>
      <c r="R109" s="6"/>
      <c r="S109" s="6"/>
    </row>
    <row r="110" spans="1:19" x14ac:dyDescent="0.25">
      <c r="A110" s="22" t="s">
        <v>1646</v>
      </c>
      <c r="B110" s="6" t="s">
        <v>866</v>
      </c>
      <c r="C110" s="6" t="s">
        <v>1647</v>
      </c>
      <c r="D110" s="6" t="s">
        <v>103</v>
      </c>
      <c r="E110" s="6" t="s">
        <v>104</v>
      </c>
      <c r="F110" s="6" t="s">
        <v>105</v>
      </c>
      <c r="G110" s="6" t="s">
        <v>80</v>
      </c>
      <c r="H110" s="6"/>
      <c r="I110" s="6" t="s">
        <v>1648</v>
      </c>
      <c r="J110" s="6" t="s">
        <v>1649</v>
      </c>
      <c r="K110" s="6" t="s">
        <v>1650</v>
      </c>
      <c r="L110" s="23"/>
      <c r="M110" s="6" t="s">
        <v>33</v>
      </c>
      <c r="N110" s="6"/>
      <c r="O110" s="6"/>
      <c r="P110" s="24"/>
      <c r="Q110" s="6"/>
      <c r="R110" s="6"/>
      <c r="S110" s="6"/>
    </row>
    <row r="111" spans="1:19" x14ac:dyDescent="0.25">
      <c r="A111" s="22" t="s">
        <v>1651</v>
      </c>
      <c r="B111" s="6" t="s">
        <v>866</v>
      </c>
      <c r="C111" s="6" t="s">
        <v>1652</v>
      </c>
      <c r="D111" s="6" t="s">
        <v>103</v>
      </c>
      <c r="E111" s="6" t="s">
        <v>113</v>
      </c>
      <c r="F111" s="6" t="s">
        <v>105</v>
      </c>
      <c r="G111" s="6" t="s">
        <v>80</v>
      </c>
      <c r="H111" s="6"/>
      <c r="I111" s="6" t="s">
        <v>1653</v>
      </c>
      <c r="J111" s="6" t="s">
        <v>1654</v>
      </c>
      <c r="K111" s="6" t="s">
        <v>1655</v>
      </c>
      <c r="L111" s="23"/>
      <c r="M111" s="6" t="s">
        <v>33</v>
      </c>
      <c r="N111" s="6"/>
      <c r="O111" s="6"/>
      <c r="P111" s="24"/>
      <c r="Q111" s="6"/>
      <c r="R111" s="6"/>
      <c r="S111" s="6"/>
    </row>
    <row r="112" spans="1:19" x14ac:dyDescent="0.25">
      <c r="A112" s="22" t="s">
        <v>1656</v>
      </c>
      <c r="B112" s="6" t="s">
        <v>866</v>
      </c>
      <c r="C112" s="6" t="s">
        <v>1657</v>
      </c>
      <c r="D112" s="6" t="s">
        <v>140</v>
      </c>
      <c r="E112" s="6" t="s">
        <v>113</v>
      </c>
      <c r="F112" s="6" t="s">
        <v>105</v>
      </c>
      <c r="G112" s="6" t="s">
        <v>80</v>
      </c>
      <c r="H112" s="6"/>
      <c r="I112" s="6" t="s">
        <v>1658</v>
      </c>
      <c r="J112" s="6" t="s">
        <v>1659</v>
      </c>
      <c r="K112" s="6" t="s">
        <v>1660</v>
      </c>
      <c r="L112" s="23"/>
      <c r="M112" s="6" t="s">
        <v>33</v>
      </c>
      <c r="N112" s="6"/>
      <c r="O112" s="6"/>
      <c r="P112" s="24"/>
      <c r="Q112" s="6"/>
      <c r="R112" s="6"/>
      <c r="S112" s="6"/>
    </row>
    <row r="113" spans="1:19" x14ac:dyDescent="0.25">
      <c r="A113" s="22" t="s">
        <v>1661</v>
      </c>
      <c r="B113" s="6" t="s">
        <v>866</v>
      </c>
      <c r="C113" s="6" t="s">
        <v>1662</v>
      </c>
      <c r="D113" s="6" t="s">
        <v>103</v>
      </c>
      <c r="E113" s="6" t="s">
        <v>113</v>
      </c>
      <c r="F113" s="6" t="s">
        <v>105</v>
      </c>
      <c r="G113" s="6" t="s">
        <v>80</v>
      </c>
      <c r="H113" s="6"/>
      <c r="I113" s="6" t="s">
        <v>1143</v>
      </c>
      <c r="J113" s="6" t="s">
        <v>1663</v>
      </c>
      <c r="K113" s="6" t="s">
        <v>1664</v>
      </c>
      <c r="L113" s="23"/>
      <c r="M113" s="6" t="s">
        <v>33</v>
      </c>
      <c r="N113" s="6"/>
      <c r="O113" s="6"/>
      <c r="P113" s="24"/>
      <c r="Q113" s="6"/>
      <c r="R113" s="6"/>
      <c r="S113" s="6"/>
    </row>
    <row r="114" spans="1:19" x14ac:dyDescent="0.25">
      <c r="A114" s="22" t="s">
        <v>1665</v>
      </c>
      <c r="B114" s="6" t="s">
        <v>1666</v>
      </c>
      <c r="C114" s="6" t="s">
        <v>1667</v>
      </c>
      <c r="D114" s="6" t="s">
        <v>103</v>
      </c>
      <c r="E114" s="6" t="s">
        <v>104</v>
      </c>
      <c r="F114" s="6" t="s">
        <v>105</v>
      </c>
      <c r="G114" s="6" t="s">
        <v>80</v>
      </c>
      <c r="H114" s="6"/>
      <c r="I114" s="6" t="s">
        <v>1668</v>
      </c>
      <c r="J114" s="6" t="s">
        <v>1669</v>
      </c>
      <c r="K114" s="6" t="s">
        <v>1670</v>
      </c>
      <c r="L114" s="23"/>
      <c r="M114" s="6" t="s">
        <v>33</v>
      </c>
      <c r="N114" s="6"/>
      <c r="O114" s="6"/>
      <c r="P114" s="24"/>
      <c r="Q114" s="6"/>
      <c r="R114" s="6"/>
      <c r="S114" s="6"/>
    </row>
    <row r="115" spans="1:19" x14ac:dyDescent="0.25">
      <c r="A115" s="22" t="s">
        <v>1671</v>
      </c>
      <c r="B115" s="6" t="s">
        <v>1666</v>
      </c>
      <c r="C115" s="6" t="s">
        <v>1672</v>
      </c>
      <c r="D115" s="6" t="s">
        <v>209</v>
      </c>
      <c r="E115" s="6" t="s">
        <v>104</v>
      </c>
      <c r="F115" s="6" t="s">
        <v>105</v>
      </c>
      <c r="G115" s="6" t="s">
        <v>80</v>
      </c>
      <c r="H115" s="6"/>
      <c r="I115" s="6" t="s">
        <v>1143</v>
      </c>
      <c r="J115" s="6" t="s">
        <v>1673</v>
      </c>
      <c r="K115" s="6" t="s">
        <v>1674</v>
      </c>
      <c r="L115" s="23"/>
      <c r="M115" s="6" t="s">
        <v>33</v>
      </c>
      <c r="N115" s="6"/>
      <c r="O115" s="6"/>
      <c r="P115" s="24"/>
      <c r="Q115" s="6"/>
      <c r="R115" s="6"/>
      <c r="S115" s="6"/>
    </row>
    <row r="116" spans="1:19" x14ac:dyDescent="0.25">
      <c r="A116" s="22" t="s">
        <v>1675</v>
      </c>
      <c r="B116" s="6" t="s">
        <v>1666</v>
      </c>
      <c r="C116" s="6" t="s">
        <v>1676</v>
      </c>
      <c r="D116" s="6" t="s">
        <v>103</v>
      </c>
      <c r="E116" s="6" t="s">
        <v>113</v>
      </c>
      <c r="F116" s="6" t="s">
        <v>121</v>
      </c>
      <c r="G116" s="6" t="s">
        <v>80</v>
      </c>
      <c r="H116" s="6"/>
      <c r="I116" s="6" t="s">
        <v>1143</v>
      </c>
      <c r="J116" s="6" t="s">
        <v>1677</v>
      </c>
      <c r="K116" s="6" t="s">
        <v>1678</v>
      </c>
      <c r="L116" s="23"/>
      <c r="M116" s="6" t="s">
        <v>33</v>
      </c>
      <c r="N116" s="6"/>
      <c r="O116" s="6"/>
      <c r="P116" s="24"/>
      <c r="Q116" s="6"/>
      <c r="R116" s="6"/>
      <c r="S116" s="6"/>
    </row>
    <row r="117" spans="1:19" x14ac:dyDescent="0.25">
      <c r="A117" s="22" t="s">
        <v>1679</v>
      </c>
      <c r="B117" s="6" t="s">
        <v>1666</v>
      </c>
      <c r="C117" s="6" t="s">
        <v>1680</v>
      </c>
      <c r="D117" s="6" t="s">
        <v>103</v>
      </c>
      <c r="E117" s="6" t="s">
        <v>113</v>
      </c>
      <c r="F117" s="6" t="s">
        <v>105</v>
      </c>
      <c r="G117" s="6" t="s">
        <v>80</v>
      </c>
      <c r="H117" s="6"/>
      <c r="I117" s="6" t="s">
        <v>1681</v>
      </c>
      <c r="J117" s="6" t="s">
        <v>1682</v>
      </c>
      <c r="K117" s="6" t="s">
        <v>1683</v>
      </c>
      <c r="L117" s="23"/>
      <c r="M117" s="6" t="s">
        <v>33</v>
      </c>
      <c r="N117" s="6"/>
      <c r="O117" s="6"/>
      <c r="P117" s="24"/>
      <c r="Q117" s="6"/>
      <c r="R117" s="6"/>
      <c r="S117" s="6"/>
    </row>
    <row r="118" spans="1:19" x14ac:dyDescent="0.25">
      <c r="A118" s="22" t="s">
        <v>1684</v>
      </c>
      <c r="B118" s="6" t="s">
        <v>1666</v>
      </c>
      <c r="C118" s="6" t="s">
        <v>1685</v>
      </c>
      <c r="D118" s="6" t="s">
        <v>103</v>
      </c>
      <c r="E118" s="6" t="s">
        <v>113</v>
      </c>
      <c r="F118" s="6" t="s">
        <v>105</v>
      </c>
      <c r="G118" s="6" t="s">
        <v>80</v>
      </c>
      <c r="H118" s="6"/>
      <c r="I118" s="6" t="s">
        <v>1686</v>
      </c>
      <c r="J118" s="6" t="s">
        <v>1687</v>
      </c>
      <c r="K118" s="6" t="s">
        <v>1688</v>
      </c>
      <c r="L118" s="23"/>
      <c r="M118" s="6" t="s">
        <v>33</v>
      </c>
      <c r="N118" s="6"/>
      <c r="O118" s="6"/>
      <c r="P118" s="24"/>
      <c r="Q118" s="6"/>
      <c r="R118" s="6"/>
      <c r="S118" s="6"/>
    </row>
    <row r="119" spans="1:19" x14ac:dyDescent="0.25">
      <c r="A119" s="22" t="s">
        <v>1689</v>
      </c>
      <c r="B119" s="6" t="s">
        <v>1666</v>
      </c>
      <c r="C119" s="6" t="s">
        <v>1690</v>
      </c>
      <c r="D119" s="6" t="s">
        <v>112</v>
      </c>
      <c r="E119" s="6" t="s">
        <v>104</v>
      </c>
      <c r="F119" s="6" t="s">
        <v>121</v>
      </c>
      <c r="G119" s="6" t="s">
        <v>80</v>
      </c>
      <c r="H119" s="6"/>
      <c r="I119" s="6" t="s">
        <v>1691</v>
      </c>
      <c r="J119" s="6" t="s">
        <v>1692</v>
      </c>
      <c r="K119" s="6" t="s">
        <v>1693</v>
      </c>
      <c r="L119" s="23"/>
      <c r="M119" s="6" t="s">
        <v>33</v>
      </c>
      <c r="N119" s="6"/>
      <c r="O119" s="6"/>
      <c r="P119" s="24"/>
      <c r="Q119" s="6"/>
      <c r="R119" s="6"/>
      <c r="S119" s="6"/>
    </row>
    <row r="120" spans="1:19" x14ac:dyDescent="0.25">
      <c r="A120" s="22" t="s">
        <v>1694</v>
      </c>
      <c r="B120" s="6" t="s">
        <v>1695</v>
      </c>
      <c r="C120" s="6" t="s">
        <v>1696</v>
      </c>
      <c r="D120" s="6" t="s">
        <v>103</v>
      </c>
      <c r="E120" s="6" t="s">
        <v>104</v>
      </c>
      <c r="F120" s="6" t="s">
        <v>121</v>
      </c>
      <c r="G120" s="6" t="s">
        <v>80</v>
      </c>
      <c r="H120" s="6"/>
      <c r="I120" s="6" t="s">
        <v>1143</v>
      </c>
      <c r="J120" s="6" t="s">
        <v>1697</v>
      </c>
      <c r="K120" s="6" t="s">
        <v>1698</v>
      </c>
      <c r="L120" s="23"/>
      <c r="M120" s="6" t="s">
        <v>33</v>
      </c>
      <c r="N120" s="6"/>
      <c r="O120" s="6"/>
      <c r="P120" s="24"/>
      <c r="Q120" s="6"/>
      <c r="R120" s="6"/>
      <c r="S120" s="6"/>
    </row>
    <row r="121" spans="1:19" x14ac:dyDescent="0.25">
      <c r="A121" s="22" t="s">
        <v>1699</v>
      </c>
      <c r="B121" s="6" t="s">
        <v>1695</v>
      </c>
      <c r="C121" s="6" t="s">
        <v>1700</v>
      </c>
      <c r="D121" s="6" t="s">
        <v>103</v>
      </c>
      <c r="E121" s="6" t="s">
        <v>104</v>
      </c>
      <c r="F121" s="6" t="s">
        <v>105</v>
      </c>
      <c r="G121" s="6" t="s">
        <v>80</v>
      </c>
      <c r="H121" s="6"/>
      <c r="I121" s="6" t="s">
        <v>1701</v>
      </c>
      <c r="J121" s="6" t="s">
        <v>1702</v>
      </c>
      <c r="K121" s="6" t="s">
        <v>1703</v>
      </c>
      <c r="L121" s="23"/>
      <c r="M121" s="6" t="s">
        <v>33</v>
      </c>
      <c r="N121" s="6"/>
      <c r="O121" s="6"/>
      <c r="P121" s="24"/>
      <c r="Q121" s="6"/>
      <c r="R121" s="6"/>
      <c r="S121" s="6"/>
    </row>
    <row r="122" spans="1:19" x14ac:dyDescent="0.25">
      <c r="A122" s="22" t="s">
        <v>1704</v>
      </c>
      <c r="B122" s="6" t="s">
        <v>1695</v>
      </c>
      <c r="C122" s="6" t="s">
        <v>1705</v>
      </c>
      <c r="D122" s="6" t="s">
        <v>103</v>
      </c>
      <c r="E122" s="6" t="s">
        <v>113</v>
      </c>
      <c r="F122" s="6" t="s">
        <v>105</v>
      </c>
      <c r="G122" s="6" t="s">
        <v>80</v>
      </c>
      <c r="H122" s="6"/>
      <c r="I122" s="6" t="s">
        <v>1706</v>
      </c>
      <c r="J122" s="6" t="s">
        <v>1707</v>
      </c>
      <c r="K122" s="6" t="s">
        <v>1708</v>
      </c>
      <c r="L122" s="23"/>
      <c r="M122" s="6" t="s">
        <v>33</v>
      </c>
      <c r="N122" s="6"/>
      <c r="O122" s="6"/>
      <c r="P122" s="24"/>
      <c r="Q122" s="6"/>
      <c r="R122" s="6"/>
      <c r="S122" s="6"/>
    </row>
    <row r="123" spans="1:19" x14ac:dyDescent="0.25">
      <c r="A123" s="22" t="s">
        <v>1709</v>
      </c>
      <c r="B123" s="6" t="s">
        <v>1695</v>
      </c>
      <c r="C123" s="6" t="s">
        <v>1710</v>
      </c>
      <c r="D123" s="6" t="s">
        <v>209</v>
      </c>
      <c r="E123" s="6" t="s">
        <v>104</v>
      </c>
      <c r="F123" s="6" t="s">
        <v>105</v>
      </c>
      <c r="G123" s="6" t="s">
        <v>80</v>
      </c>
      <c r="H123" s="6"/>
      <c r="I123" s="6" t="s">
        <v>1143</v>
      </c>
      <c r="J123" s="6" t="s">
        <v>1711</v>
      </c>
      <c r="K123" s="6" t="s">
        <v>1712</v>
      </c>
      <c r="L123" s="23"/>
      <c r="M123" s="6" t="s">
        <v>33</v>
      </c>
      <c r="N123" s="6"/>
      <c r="O123" s="6"/>
      <c r="P123" s="24"/>
      <c r="Q123" s="6"/>
      <c r="R123" s="6"/>
      <c r="S123" s="6"/>
    </row>
    <row r="124" spans="1:19" x14ac:dyDescent="0.25">
      <c r="A124" s="22" t="s">
        <v>1713</v>
      </c>
      <c r="B124" s="6" t="s">
        <v>1695</v>
      </c>
      <c r="C124" s="6" t="s">
        <v>1714</v>
      </c>
      <c r="D124" s="6" t="s">
        <v>112</v>
      </c>
      <c r="E124" s="6" t="s">
        <v>104</v>
      </c>
      <c r="F124" s="6" t="s">
        <v>105</v>
      </c>
      <c r="G124" s="6" t="s">
        <v>80</v>
      </c>
      <c r="H124" s="6"/>
      <c r="I124" s="6" t="s">
        <v>1715</v>
      </c>
      <c r="J124" s="6" t="s">
        <v>1716</v>
      </c>
      <c r="K124" s="6" t="s">
        <v>1717</v>
      </c>
      <c r="L124" s="23"/>
      <c r="M124" s="6" t="s">
        <v>33</v>
      </c>
      <c r="N124" s="6"/>
      <c r="O124" s="6"/>
      <c r="P124" s="24"/>
      <c r="Q124" s="6"/>
      <c r="R124" s="6"/>
      <c r="S124" s="6"/>
    </row>
    <row r="125" spans="1:19" x14ac:dyDescent="0.25">
      <c r="A125" s="22" t="s">
        <v>1718</v>
      </c>
      <c r="B125" s="6" t="s">
        <v>1695</v>
      </c>
      <c r="C125" s="6" t="s">
        <v>1719</v>
      </c>
      <c r="D125" s="6" t="s">
        <v>209</v>
      </c>
      <c r="E125" s="6" t="s">
        <v>113</v>
      </c>
      <c r="F125" s="6" t="s">
        <v>105</v>
      </c>
      <c r="G125" s="6" t="s">
        <v>80</v>
      </c>
      <c r="H125" s="6"/>
      <c r="I125" s="6" t="s">
        <v>1720</v>
      </c>
      <c r="J125" s="6" t="s">
        <v>1721</v>
      </c>
      <c r="K125" s="6" t="s">
        <v>1722</v>
      </c>
      <c r="L125" s="23" t="s">
        <v>1237</v>
      </c>
      <c r="M125" s="6" t="s">
        <v>33</v>
      </c>
      <c r="N125" s="6"/>
      <c r="O125" s="6"/>
      <c r="P125" s="24"/>
      <c r="Q125" s="6"/>
      <c r="R125" s="6"/>
      <c r="S125" s="6"/>
    </row>
    <row r="126" spans="1:19" x14ac:dyDescent="0.25">
      <c r="A126" s="22" t="s">
        <v>1723</v>
      </c>
      <c r="B126" s="6" t="s">
        <v>1695</v>
      </c>
      <c r="C126" s="6" t="s">
        <v>1724</v>
      </c>
      <c r="D126" s="6" t="s">
        <v>103</v>
      </c>
      <c r="E126" s="6" t="s">
        <v>104</v>
      </c>
      <c r="F126" s="6" t="s">
        <v>105</v>
      </c>
      <c r="G126" s="6" t="s">
        <v>80</v>
      </c>
      <c r="H126" s="6"/>
      <c r="I126" s="6" t="s">
        <v>1725</v>
      </c>
      <c r="J126" s="6" t="s">
        <v>1726</v>
      </c>
      <c r="K126" s="6" t="s">
        <v>1727</v>
      </c>
      <c r="L126" s="23"/>
      <c r="M126" s="6" t="s">
        <v>33</v>
      </c>
      <c r="N126" s="6"/>
      <c r="O126" s="6"/>
      <c r="P126" s="24"/>
      <c r="Q126" s="6"/>
      <c r="R126" s="6"/>
      <c r="S126" s="6"/>
    </row>
    <row r="127" spans="1:19" x14ac:dyDescent="0.25">
      <c r="A127" s="22" t="s">
        <v>1728</v>
      </c>
      <c r="B127" s="6" t="s">
        <v>1695</v>
      </c>
      <c r="C127" s="6" t="s">
        <v>1729</v>
      </c>
      <c r="D127" s="6" t="s">
        <v>112</v>
      </c>
      <c r="E127" s="6" t="s">
        <v>104</v>
      </c>
      <c r="F127" s="6" t="s">
        <v>121</v>
      </c>
      <c r="G127" s="6" t="s">
        <v>80</v>
      </c>
      <c r="H127" s="6"/>
      <c r="I127" s="6" t="s">
        <v>1730</v>
      </c>
      <c r="J127" s="6" t="s">
        <v>1731</v>
      </c>
      <c r="K127" s="6" t="s">
        <v>1732</v>
      </c>
      <c r="L127" s="23"/>
      <c r="M127" s="6" t="s">
        <v>33</v>
      </c>
      <c r="N127" s="6"/>
      <c r="O127" s="6"/>
      <c r="P127" s="24"/>
      <c r="Q127" s="6"/>
      <c r="R127" s="6"/>
      <c r="S127" s="6"/>
    </row>
    <row r="128" spans="1:19" x14ac:dyDescent="0.25">
      <c r="A128" s="22" t="s">
        <v>1733</v>
      </c>
      <c r="B128" s="6" t="s">
        <v>1695</v>
      </c>
      <c r="C128" s="6" t="s">
        <v>1734</v>
      </c>
      <c r="D128" s="6" t="s">
        <v>112</v>
      </c>
      <c r="E128" s="6" t="s">
        <v>113</v>
      </c>
      <c r="F128" s="6" t="s">
        <v>121</v>
      </c>
      <c r="G128" s="6" t="s">
        <v>80</v>
      </c>
      <c r="H128" s="6"/>
      <c r="I128" s="6" t="s">
        <v>1735</v>
      </c>
      <c r="J128" s="6" t="s">
        <v>1736</v>
      </c>
      <c r="K128" s="6" t="s">
        <v>1737</v>
      </c>
      <c r="L128" s="23"/>
      <c r="M128" s="6" t="s">
        <v>33</v>
      </c>
      <c r="N128" s="6"/>
      <c r="O128" s="6"/>
      <c r="P128" s="24"/>
      <c r="Q128" s="6"/>
      <c r="R128" s="6"/>
      <c r="S128" s="6"/>
    </row>
    <row r="129" spans="1:19" x14ac:dyDescent="0.25">
      <c r="A129" s="22" t="s">
        <v>1738</v>
      </c>
      <c r="B129" s="6" t="s">
        <v>1739</v>
      </c>
      <c r="C129" s="6" t="s">
        <v>1740</v>
      </c>
      <c r="D129" s="6" t="s">
        <v>103</v>
      </c>
      <c r="E129" s="6" t="s">
        <v>104</v>
      </c>
      <c r="F129" s="6" t="s">
        <v>105</v>
      </c>
      <c r="G129" s="6" t="s">
        <v>80</v>
      </c>
      <c r="H129" s="6"/>
      <c r="I129" s="6" t="s">
        <v>1143</v>
      </c>
      <c r="J129" s="6" t="s">
        <v>1741</v>
      </c>
      <c r="K129" s="6" t="s">
        <v>1742</v>
      </c>
      <c r="L129" s="23"/>
      <c r="M129" s="6" t="s">
        <v>33</v>
      </c>
      <c r="N129" s="6"/>
      <c r="O129" s="6"/>
      <c r="P129" s="24"/>
      <c r="Q129" s="6"/>
      <c r="R129" s="6"/>
      <c r="S129" s="6"/>
    </row>
    <row r="130" spans="1:19" x14ac:dyDescent="0.25">
      <c r="A130" s="22" t="s">
        <v>1743</v>
      </c>
      <c r="B130" s="6" t="s">
        <v>1739</v>
      </c>
      <c r="C130" s="6" t="s">
        <v>1744</v>
      </c>
      <c r="D130" s="6" t="s">
        <v>140</v>
      </c>
      <c r="E130" s="6" t="s">
        <v>104</v>
      </c>
      <c r="F130" s="6" t="s">
        <v>105</v>
      </c>
      <c r="G130" s="6" t="s">
        <v>80</v>
      </c>
      <c r="H130" s="6"/>
      <c r="I130" s="6" t="s">
        <v>1745</v>
      </c>
      <c r="J130" s="6" t="s">
        <v>1746</v>
      </c>
      <c r="K130" s="6" t="s">
        <v>1747</v>
      </c>
      <c r="L130" s="23"/>
      <c r="M130" s="6" t="s">
        <v>33</v>
      </c>
      <c r="N130" s="6"/>
      <c r="O130" s="6"/>
      <c r="P130" s="24"/>
      <c r="Q130" s="6"/>
      <c r="R130" s="6"/>
      <c r="S130" s="6"/>
    </row>
    <row r="131" spans="1:19" x14ac:dyDescent="0.25">
      <c r="A131" s="22" t="s">
        <v>1748</v>
      </c>
      <c r="B131" s="6" t="s">
        <v>1739</v>
      </c>
      <c r="C131" s="6" t="s">
        <v>1749</v>
      </c>
      <c r="D131" s="6" t="s">
        <v>209</v>
      </c>
      <c r="E131" s="6" t="s">
        <v>113</v>
      </c>
      <c r="F131" s="6" t="s">
        <v>105</v>
      </c>
      <c r="G131" s="6" t="s">
        <v>80</v>
      </c>
      <c r="H131" s="6"/>
      <c r="I131" s="6" t="s">
        <v>1750</v>
      </c>
      <c r="J131" s="6" t="s">
        <v>1751</v>
      </c>
      <c r="K131" s="6" t="s">
        <v>1752</v>
      </c>
      <c r="L131" s="23"/>
      <c r="M131" s="6" t="s">
        <v>33</v>
      </c>
      <c r="N131" s="6"/>
      <c r="O131" s="6"/>
      <c r="P131" s="24"/>
      <c r="Q131" s="6"/>
      <c r="R131" s="6"/>
      <c r="S131" s="6"/>
    </row>
    <row r="132" spans="1:19" x14ac:dyDescent="0.25">
      <c r="A132" s="22" t="s">
        <v>1753</v>
      </c>
      <c r="B132" s="6" t="s">
        <v>1739</v>
      </c>
      <c r="C132" s="6" t="s">
        <v>1754</v>
      </c>
      <c r="D132" s="6" t="s">
        <v>103</v>
      </c>
      <c r="E132" s="6" t="s">
        <v>104</v>
      </c>
      <c r="F132" s="6" t="s">
        <v>121</v>
      </c>
      <c r="G132" s="6" t="s">
        <v>80</v>
      </c>
      <c r="H132" s="6"/>
      <c r="I132" s="6" t="s">
        <v>1755</v>
      </c>
      <c r="J132" s="6" t="s">
        <v>1756</v>
      </c>
      <c r="K132" s="6" t="s">
        <v>1757</v>
      </c>
      <c r="L132" s="23"/>
      <c r="M132" s="6" t="s">
        <v>33</v>
      </c>
      <c r="N132" s="6"/>
      <c r="O132" s="6"/>
      <c r="P132" s="24"/>
      <c r="Q132" s="6"/>
      <c r="R132" s="6"/>
      <c r="S132" s="6"/>
    </row>
    <row r="133" spans="1:19" x14ac:dyDescent="0.25">
      <c r="A133" s="22" t="s">
        <v>1758</v>
      </c>
      <c r="B133" s="6" t="s">
        <v>1759</v>
      </c>
      <c r="C133" s="6" t="s">
        <v>1760</v>
      </c>
      <c r="D133" s="6" t="s">
        <v>103</v>
      </c>
      <c r="E133" s="6" t="s">
        <v>113</v>
      </c>
      <c r="F133" s="6" t="s">
        <v>121</v>
      </c>
      <c r="G133" s="6" t="s">
        <v>80</v>
      </c>
      <c r="H133" s="6"/>
      <c r="I133" s="6" t="s">
        <v>1143</v>
      </c>
      <c r="J133" s="6" t="s">
        <v>1761</v>
      </c>
      <c r="K133" s="6" t="s">
        <v>1762</v>
      </c>
      <c r="L133" s="23"/>
      <c r="M133" s="6" t="s">
        <v>33</v>
      </c>
      <c r="N133" s="6"/>
      <c r="O133" s="6"/>
      <c r="P133" s="24"/>
      <c r="Q133" s="6"/>
      <c r="R133" s="6"/>
      <c r="S133" s="6"/>
    </row>
    <row r="134" spans="1:19" x14ac:dyDescent="0.25">
      <c r="A134" s="22" t="s">
        <v>1763</v>
      </c>
      <c r="B134" s="6" t="s">
        <v>1759</v>
      </c>
      <c r="C134" s="6" t="s">
        <v>1764</v>
      </c>
      <c r="D134" s="6" t="s">
        <v>103</v>
      </c>
      <c r="E134" s="6" t="s">
        <v>104</v>
      </c>
      <c r="F134" s="6" t="s">
        <v>105</v>
      </c>
      <c r="G134" s="6" t="s">
        <v>80</v>
      </c>
      <c r="H134" s="6"/>
      <c r="I134" s="6" t="s">
        <v>1765</v>
      </c>
      <c r="J134" s="6" t="s">
        <v>1766</v>
      </c>
      <c r="K134" s="6" t="s">
        <v>1767</v>
      </c>
      <c r="L134" s="23"/>
      <c r="M134" s="6" t="s">
        <v>33</v>
      </c>
      <c r="N134" s="6"/>
      <c r="O134" s="6"/>
      <c r="P134" s="24"/>
      <c r="Q134" s="6"/>
      <c r="R134" s="6"/>
      <c r="S134" s="6"/>
    </row>
    <row r="135" spans="1:19" x14ac:dyDescent="0.25">
      <c r="A135" s="22" t="s">
        <v>1768</v>
      </c>
      <c r="B135" s="6" t="s">
        <v>1759</v>
      </c>
      <c r="C135" s="6" t="s">
        <v>1769</v>
      </c>
      <c r="D135" s="6" t="s">
        <v>112</v>
      </c>
      <c r="E135" s="6" t="s">
        <v>113</v>
      </c>
      <c r="F135" s="6" t="s">
        <v>105</v>
      </c>
      <c r="G135" s="6" t="s">
        <v>80</v>
      </c>
      <c r="H135" s="6"/>
      <c r="I135" s="6" t="s">
        <v>1143</v>
      </c>
      <c r="J135" s="6" t="s">
        <v>1770</v>
      </c>
      <c r="K135" s="6" t="s">
        <v>1771</v>
      </c>
      <c r="L135" s="23"/>
      <c r="M135" s="6" t="s">
        <v>33</v>
      </c>
      <c r="N135" s="6"/>
      <c r="O135" s="6"/>
      <c r="P135" s="24"/>
      <c r="Q135" s="6"/>
      <c r="R135" s="6"/>
      <c r="S135" s="6"/>
    </row>
    <row r="136" spans="1:19" x14ac:dyDescent="0.25">
      <c r="A136" s="22" t="s">
        <v>1772</v>
      </c>
      <c r="B136" s="6" t="s">
        <v>1759</v>
      </c>
      <c r="C136" s="6" t="s">
        <v>1773</v>
      </c>
      <c r="D136" s="6" t="s">
        <v>209</v>
      </c>
      <c r="E136" s="6" t="s">
        <v>104</v>
      </c>
      <c r="F136" s="6" t="s">
        <v>105</v>
      </c>
      <c r="G136" s="6" t="s">
        <v>80</v>
      </c>
      <c r="H136" s="6"/>
      <c r="I136" s="6" t="s">
        <v>1774</v>
      </c>
      <c r="J136" s="6" t="s">
        <v>1775</v>
      </c>
      <c r="K136" s="6" t="s">
        <v>1776</v>
      </c>
      <c r="L136" s="23"/>
      <c r="M136" s="6" t="s">
        <v>33</v>
      </c>
      <c r="N136" s="6"/>
      <c r="O136" s="6"/>
      <c r="P136" s="24"/>
      <c r="Q136" s="6"/>
      <c r="R136" s="6"/>
      <c r="S136" s="6"/>
    </row>
    <row r="137" spans="1:19" x14ac:dyDescent="0.25">
      <c r="A137" s="22" t="s">
        <v>1777</v>
      </c>
      <c r="B137" s="6" t="s">
        <v>1759</v>
      </c>
      <c r="C137" s="6" t="s">
        <v>1778</v>
      </c>
      <c r="D137" s="6" t="s">
        <v>103</v>
      </c>
      <c r="E137" s="6" t="s">
        <v>113</v>
      </c>
      <c r="F137" s="6" t="s">
        <v>105</v>
      </c>
      <c r="G137" s="6" t="s">
        <v>80</v>
      </c>
      <c r="H137" s="6"/>
      <c r="I137" s="6" t="s">
        <v>1779</v>
      </c>
      <c r="J137" s="6" t="s">
        <v>1780</v>
      </c>
      <c r="K137" s="6" t="s">
        <v>1781</v>
      </c>
      <c r="L137" s="23"/>
      <c r="M137" s="6" t="s">
        <v>33</v>
      </c>
      <c r="N137" s="6"/>
      <c r="O137" s="6"/>
      <c r="P137" s="24"/>
      <c r="Q137" s="6"/>
      <c r="R137" s="6"/>
      <c r="S137" s="6"/>
    </row>
    <row r="138" spans="1:19" x14ac:dyDescent="0.25">
      <c r="A138" s="22" t="s">
        <v>1782</v>
      </c>
      <c r="B138" s="6" t="s">
        <v>1783</v>
      </c>
      <c r="C138" s="6" t="s">
        <v>1784</v>
      </c>
      <c r="D138" s="6" t="s">
        <v>209</v>
      </c>
      <c r="E138" s="6" t="s">
        <v>113</v>
      </c>
      <c r="F138" s="6" t="s">
        <v>105</v>
      </c>
      <c r="G138" s="6" t="s">
        <v>80</v>
      </c>
      <c r="H138" s="6"/>
      <c r="I138" s="6" t="s">
        <v>1143</v>
      </c>
      <c r="J138" s="6" t="s">
        <v>1785</v>
      </c>
      <c r="K138" s="6" t="s">
        <v>1786</v>
      </c>
      <c r="L138" s="23"/>
      <c r="M138" s="6" t="s">
        <v>33</v>
      </c>
      <c r="N138" s="6"/>
      <c r="O138" s="6"/>
      <c r="P138" s="24"/>
      <c r="Q138" s="6"/>
      <c r="R138" s="6"/>
      <c r="S138" s="6"/>
    </row>
    <row r="139" spans="1:19" x14ac:dyDescent="0.25">
      <c r="A139" s="22" t="s">
        <v>1787</v>
      </c>
      <c r="B139" s="6" t="s">
        <v>1783</v>
      </c>
      <c r="C139" s="6" t="s">
        <v>1788</v>
      </c>
      <c r="D139" s="6" t="s">
        <v>103</v>
      </c>
      <c r="E139" s="6" t="s">
        <v>104</v>
      </c>
      <c r="F139" s="6" t="s">
        <v>121</v>
      </c>
      <c r="G139" s="6" t="s">
        <v>80</v>
      </c>
      <c r="H139" s="6"/>
      <c r="I139" s="6" t="s">
        <v>1789</v>
      </c>
      <c r="J139" s="6" t="s">
        <v>1790</v>
      </c>
      <c r="K139" s="6" t="s">
        <v>1791</v>
      </c>
      <c r="L139" s="23"/>
      <c r="M139" s="6" t="s">
        <v>33</v>
      </c>
      <c r="N139" s="6"/>
      <c r="O139" s="6"/>
      <c r="P139" s="24"/>
      <c r="Q139" s="6"/>
      <c r="R139" s="6"/>
      <c r="S139" s="6"/>
    </row>
    <row r="140" spans="1:19" x14ac:dyDescent="0.25">
      <c r="A140" s="22" t="s">
        <v>1792</v>
      </c>
      <c r="B140" s="6" t="s">
        <v>1783</v>
      </c>
      <c r="C140" s="6" t="s">
        <v>1793</v>
      </c>
      <c r="D140" s="6" t="s">
        <v>103</v>
      </c>
      <c r="E140" s="6" t="s">
        <v>113</v>
      </c>
      <c r="F140" s="6" t="s">
        <v>121</v>
      </c>
      <c r="G140" s="6" t="s">
        <v>80</v>
      </c>
      <c r="H140" s="6"/>
      <c r="I140" s="6" t="s">
        <v>1143</v>
      </c>
      <c r="J140" s="6" t="s">
        <v>1794</v>
      </c>
      <c r="K140" s="6" t="s">
        <v>1795</v>
      </c>
      <c r="L140" s="23"/>
      <c r="M140" s="6" t="s">
        <v>33</v>
      </c>
      <c r="N140" s="6"/>
      <c r="O140" s="6"/>
      <c r="P140" s="24"/>
      <c r="Q140" s="6"/>
      <c r="R140" s="6"/>
      <c r="S140" s="6"/>
    </row>
    <row r="141" spans="1:19" x14ac:dyDescent="0.25">
      <c r="A141" s="22" t="s">
        <v>1796</v>
      </c>
      <c r="B141" s="6" t="s">
        <v>1783</v>
      </c>
      <c r="C141" s="6" t="s">
        <v>1797</v>
      </c>
      <c r="D141" s="6" t="s">
        <v>103</v>
      </c>
      <c r="E141" s="6" t="s">
        <v>104</v>
      </c>
      <c r="F141" s="6" t="s">
        <v>105</v>
      </c>
      <c r="G141" s="6" t="s">
        <v>80</v>
      </c>
      <c r="H141" s="6"/>
      <c r="I141" s="6" t="s">
        <v>1798</v>
      </c>
      <c r="J141" s="6" t="s">
        <v>1799</v>
      </c>
      <c r="K141" s="6" t="s">
        <v>1800</v>
      </c>
      <c r="L141" s="23"/>
      <c r="M141" s="6" t="s">
        <v>33</v>
      </c>
      <c r="N141" s="6"/>
      <c r="O141" s="6"/>
      <c r="P141" s="24"/>
      <c r="Q141" s="6"/>
      <c r="R141" s="6"/>
      <c r="S141" s="6"/>
    </row>
    <row r="142" spans="1:19" x14ac:dyDescent="0.25">
      <c r="A142" s="22" t="s">
        <v>1801</v>
      </c>
      <c r="B142" s="6" t="s">
        <v>1783</v>
      </c>
      <c r="C142" s="6" t="s">
        <v>1802</v>
      </c>
      <c r="D142" s="6" t="s">
        <v>209</v>
      </c>
      <c r="E142" s="6" t="s">
        <v>113</v>
      </c>
      <c r="F142" s="6" t="s">
        <v>105</v>
      </c>
      <c r="G142" s="6" t="s">
        <v>80</v>
      </c>
      <c r="H142" s="6"/>
      <c r="I142" s="6" t="s">
        <v>1143</v>
      </c>
      <c r="J142" s="6" t="s">
        <v>1803</v>
      </c>
      <c r="K142" s="6" t="s">
        <v>1804</v>
      </c>
      <c r="L142" s="23"/>
      <c r="M142" s="6" t="s">
        <v>33</v>
      </c>
      <c r="N142" s="6"/>
      <c r="O142" s="6"/>
      <c r="P142" s="24"/>
      <c r="Q142" s="6"/>
      <c r="R142" s="6"/>
      <c r="S142" s="6"/>
    </row>
    <row r="143" spans="1:19" x14ac:dyDescent="0.25">
      <c r="A143" s="22" t="s">
        <v>1805</v>
      </c>
      <c r="B143" s="6" t="s">
        <v>1783</v>
      </c>
      <c r="C143" s="6" t="s">
        <v>1806</v>
      </c>
      <c r="D143" s="6" t="s">
        <v>103</v>
      </c>
      <c r="E143" s="6" t="s">
        <v>104</v>
      </c>
      <c r="F143" s="6" t="s">
        <v>121</v>
      </c>
      <c r="G143" s="6" t="s">
        <v>80</v>
      </c>
      <c r="H143" s="6"/>
      <c r="I143" s="6" t="s">
        <v>1807</v>
      </c>
      <c r="J143" s="6" t="s">
        <v>1808</v>
      </c>
      <c r="K143" s="6" t="s">
        <v>1809</v>
      </c>
      <c r="L143" s="23"/>
      <c r="M143" s="6" t="s">
        <v>33</v>
      </c>
      <c r="N143" s="6"/>
      <c r="O143" s="6"/>
      <c r="P143" s="24"/>
      <c r="Q143" s="6"/>
      <c r="R143" s="6"/>
      <c r="S143" s="6"/>
    </row>
    <row r="144" spans="1:19" x14ac:dyDescent="0.25">
      <c r="A144" s="22" t="s">
        <v>1810</v>
      </c>
      <c r="B144" s="6" t="s">
        <v>1783</v>
      </c>
      <c r="C144" s="6" t="s">
        <v>1811</v>
      </c>
      <c r="D144" s="6" t="s">
        <v>209</v>
      </c>
      <c r="E144" s="6" t="s">
        <v>113</v>
      </c>
      <c r="F144" s="6" t="s">
        <v>121</v>
      </c>
      <c r="G144" s="6" t="s">
        <v>80</v>
      </c>
      <c r="H144" s="6"/>
      <c r="I144" s="6" t="s">
        <v>1812</v>
      </c>
      <c r="J144" s="6" t="s">
        <v>1813</v>
      </c>
      <c r="K144" s="6" t="s">
        <v>1814</v>
      </c>
      <c r="L144" s="23"/>
      <c r="M144" s="6" t="s">
        <v>33</v>
      </c>
      <c r="N144" s="6"/>
      <c r="O144" s="6"/>
      <c r="P144" s="24"/>
      <c r="Q144" s="6"/>
      <c r="R144" s="6"/>
      <c r="S144" s="6"/>
    </row>
    <row r="145" spans="1:19" x14ac:dyDescent="0.25">
      <c r="A145" s="22" t="s">
        <v>1815</v>
      </c>
      <c r="B145" s="6" t="s">
        <v>1783</v>
      </c>
      <c r="C145" s="6" t="s">
        <v>1816</v>
      </c>
      <c r="D145" s="6" t="s">
        <v>112</v>
      </c>
      <c r="E145" s="6" t="s">
        <v>113</v>
      </c>
      <c r="F145" s="6" t="s">
        <v>121</v>
      </c>
      <c r="G145" s="6" t="s">
        <v>80</v>
      </c>
      <c r="H145" s="6"/>
      <c r="I145" s="6" t="s">
        <v>1817</v>
      </c>
      <c r="J145" s="6" t="s">
        <v>1818</v>
      </c>
      <c r="K145" s="6" t="s">
        <v>1819</v>
      </c>
      <c r="L145" s="23"/>
      <c r="M145" s="6" t="s">
        <v>33</v>
      </c>
      <c r="N145" s="6"/>
      <c r="O145" s="6"/>
      <c r="P145" s="24"/>
      <c r="Q145" s="6"/>
      <c r="R145" s="6"/>
      <c r="S145" s="6"/>
    </row>
    <row r="146" spans="1:19" x14ac:dyDescent="0.25">
      <c r="A146" s="22" t="s">
        <v>1820</v>
      </c>
      <c r="B146" s="6" t="s">
        <v>1783</v>
      </c>
      <c r="C146" s="6" t="s">
        <v>1821</v>
      </c>
      <c r="D146" s="6" t="s">
        <v>103</v>
      </c>
      <c r="E146" s="6" t="s">
        <v>113</v>
      </c>
      <c r="F146" s="6" t="s">
        <v>105</v>
      </c>
      <c r="G146" s="6" t="s">
        <v>80</v>
      </c>
      <c r="H146" s="6"/>
      <c r="I146" s="6" t="s">
        <v>1822</v>
      </c>
      <c r="J146" s="6" t="s">
        <v>1823</v>
      </c>
      <c r="K146" s="6" t="s">
        <v>1824</v>
      </c>
      <c r="L146" s="23"/>
      <c r="M146" s="6" t="s">
        <v>33</v>
      </c>
      <c r="N146" s="6"/>
      <c r="O146" s="6"/>
      <c r="P146" s="24"/>
      <c r="Q146" s="6"/>
      <c r="R146" s="6"/>
      <c r="S146" s="6"/>
    </row>
    <row r="147" spans="1:19" x14ac:dyDescent="0.25">
      <c r="A147" s="22" t="s">
        <v>1825</v>
      </c>
      <c r="B147" s="6" t="s">
        <v>1783</v>
      </c>
      <c r="C147" s="6" t="s">
        <v>1826</v>
      </c>
      <c r="D147" s="6" t="s">
        <v>103</v>
      </c>
      <c r="E147" s="6" t="s">
        <v>145</v>
      </c>
      <c r="F147" s="6" t="s">
        <v>121</v>
      </c>
      <c r="G147" s="6" t="s">
        <v>80</v>
      </c>
      <c r="H147" s="6"/>
      <c r="I147" s="6" t="s">
        <v>1143</v>
      </c>
      <c r="J147" s="6" t="s">
        <v>1827</v>
      </c>
      <c r="K147" s="6" t="s">
        <v>1828</v>
      </c>
      <c r="L147" s="23"/>
      <c r="M147" s="6" t="s">
        <v>33</v>
      </c>
      <c r="N147" s="6"/>
      <c r="O147" s="6"/>
      <c r="P147" s="24"/>
      <c r="Q147" s="6"/>
      <c r="R147" s="6"/>
      <c r="S147" s="6"/>
    </row>
    <row r="148" spans="1:19" x14ac:dyDescent="0.25">
      <c r="A148" s="22" t="s">
        <v>1829</v>
      </c>
      <c r="B148" s="6" t="s">
        <v>1830</v>
      </c>
      <c r="C148" s="6" t="s">
        <v>1831</v>
      </c>
      <c r="D148" s="6" t="s">
        <v>103</v>
      </c>
      <c r="E148" s="6" t="s">
        <v>113</v>
      </c>
      <c r="F148" s="6" t="s">
        <v>121</v>
      </c>
      <c r="G148" s="6" t="s">
        <v>80</v>
      </c>
      <c r="H148" s="6"/>
      <c r="I148" s="6" t="s">
        <v>1832</v>
      </c>
      <c r="J148" s="6" t="s">
        <v>1833</v>
      </c>
      <c r="K148" s="6" t="s">
        <v>1834</v>
      </c>
      <c r="L148" s="23"/>
      <c r="M148" s="6" t="s">
        <v>33</v>
      </c>
      <c r="N148" s="6"/>
      <c r="O148" s="6"/>
      <c r="P148" s="24"/>
      <c r="Q148" s="6"/>
      <c r="R148" s="6"/>
      <c r="S148" s="6"/>
    </row>
    <row r="149" spans="1:19" x14ac:dyDescent="0.25">
      <c r="A149" s="22" t="s">
        <v>1835</v>
      </c>
      <c r="B149" s="6" t="s">
        <v>1830</v>
      </c>
      <c r="C149" s="6" t="s">
        <v>1836</v>
      </c>
      <c r="D149" s="6" t="s">
        <v>112</v>
      </c>
      <c r="E149" s="6" t="s">
        <v>145</v>
      </c>
      <c r="F149" s="6" t="s">
        <v>105</v>
      </c>
      <c r="G149" s="6" t="s">
        <v>80</v>
      </c>
      <c r="H149" s="6"/>
      <c r="I149" s="6" t="s">
        <v>1837</v>
      </c>
      <c r="J149" s="6" t="s">
        <v>1838</v>
      </c>
      <c r="K149" s="6" t="s">
        <v>1839</v>
      </c>
      <c r="L149" s="23" t="s">
        <v>1840</v>
      </c>
      <c r="M149" s="6" t="s">
        <v>33</v>
      </c>
      <c r="N149" s="6"/>
      <c r="O149" s="6"/>
      <c r="P149" s="24"/>
      <c r="Q149" s="6"/>
      <c r="R149" s="6"/>
      <c r="S149" s="6"/>
    </row>
    <row r="150" spans="1:19" x14ac:dyDescent="0.25">
      <c r="A150" s="22" t="s">
        <v>1841</v>
      </c>
      <c r="B150" s="6" t="s">
        <v>1830</v>
      </c>
      <c r="C150" s="6" t="s">
        <v>1842</v>
      </c>
      <c r="D150" s="6" t="s">
        <v>103</v>
      </c>
      <c r="E150" s="6" t="s">
        <v>145</v>
      </c>
      <c r="F150" s="6" t="s">
        <v>105</v>
      </c>
      <c r="G150" s="6" t="s">
        <v>80</v>
      </c>
      <c r="H150" s="6"/>
      <c r="I150" s="6" t="s">
        <v>1843</v>
      </c>
      <c r="J150" s="6" t="s">
        <v>1844</v>
      </c>
      <c r="K150" s="6" t="s">
        <v>1845</v>
      </c>
      <c r="L150" s="23"/>
      <c r="M150" s="6" t="s">
        <v>33</v>
      </c>
      <c r="N150" s="6"/>
      <c r="O150" s="6"/>
      <c r="P150" s="24"/>
      <c r="Q150" s="6"/>
      <c r="R150" s="6"/>
      <c r="S150" s="6"/>
    </row>
    <row r="151" spans="1:19" x14ac:dyDescent="0.25">
      <c r="A151" s="22" t="s">
        <v>1846</v>
      </c>
      <c r="B151" s="6" t="s">
        <v>1666</v>
      </c>
      <c r="C151" s="6" t="s">
        <v>1847</v>
      </c>
      <c r="D151" s="6" t="s">
        <v>140</v>
      </c>
      <c r="E151" s="6" t="s">
        <v>113</v>
      </c>
      <c r="F151" s="6" t="s">
        <v>105</v>
      </c>
      <c r="G151" s="6" t="s">
        <v>80</v>
      </c>
      <c r="H151" s="6"/>
      <c r="I151" s="6" t="s">
        <v>1848</v>
      </c>
      <c r="J151" s="6" t="s">
        <v>1849</v>
      </c>
      <c r="K151" s="6" t="s">
        <v>1850</v>
      </c>
      <c r="L151" s="23"/>
      <c r="M151" s="6" t="s">
        <v>33</v>
      </c>
      <c r="N151" s="6"/>
      <c r="O151" s="6"/>
      <c r="P151" s="24"/>
      <c r="Q151" s="6"/>
      <c r="R151" s="6"/>
      <c r="S151" s="6"/>
    </row>
    <row r="152" spans="1:19" x14ac:dyDescent="0.25">
      <c r="A152" s="22" t="s">
        <v>1851</v>
      </c>
      <c r="B152" s="6" t="s">
        <v>1852</v>
      </c>
      <c r="C152" s="6" t="s">
        <v>1853</v>
      </c>
      <c r="D152" s="6" t="s">
        <v>103</v>
      </c>
      <c r="E152" s="6" t="s">
        <v>113</v>
      </c>
      <c r="F152" s="6" t="s">
        <v>121</v>
      </c>
      <c r="G152" s="6" t="s">
        <v>78</v>
      </c>
      <c r="H152" s="6"/>
      <c r="I152" s="6" t="s">
        <v>1854</v>
      </c>
      <c r="J152" s="6" t="s">
        <v>1855</v>
      </c>
      <c r="K152" s="6" t="s">
        <v>1856</v>
      </c>
      <c r="L152" s="23"/>
      <c r="M152" s="6" t="s">
        <v>33</v>
      </c>
      <c r="N152" s="6"/>
      <c r="O152" s="6"/>
      <c r="P152" s="24"/>
      <c r="Q152" s="6"/>
      <c r="R152" s="6"/>
      <c r="S152" s="6"/>
    </row>
    <row r="153" spans="1:19" x14ac:dyDescent="0.25">
      <c r="A153" s="22" t="s">
        <v>1857</v>
      </c>
      <c r="B153" s="6" t="s">
        <v>1852</v>
      </c>
      <c r="C153" s="6" t="s">
        <v>1858</v>
      </c>
      <c r="D153" s="6" t="s">
        <v>103</v>
      </c>
      <c r="E153" s="6" t="s">
        <v>104</v>
      </c>
      <c r="F153" s="6" t="s">
        <v>121</v>
      </c>
      <c r="G153" s="6" t="s">
        <v>78</v>
      </c>
      <c r="H153" s="6"/>
      <c r="I153" s="6" t="s">
        <v>1859</v>
      </c>
      <c r="J153" s="6" t="s">
        <v>1860</v>
      </c>
      <c r="K153" s="6" t="s">
        <v>1861</v>
      </c>
      <c r="L153" s="23"/>
      <c r="M153" s="6" t="s">
        <v>33</v>
      </c>
      <c r="N153" s="6"/>
      <c r="O153" s="6"/>
      <c r="P153" s="24"/>
      <c r="Q153" s="6"/>
      <c r="R153" s="6"/>
      <c r="S153" s="6"/>
    </row>
    <row r="154" spans="1:19" x14ac:dyDescent="0.25">
      <c r="A154" s="22" t="s">
        <v>1862</v>
      </c>
      <c r="B154" s="6" t="s">
        <v>1852</v>
      </c>
      <c r="C154" s="6" t="s">
        <v>1863</v>
      </c>
      <c r="D154" s="6" t="s">
        <v>209</v>
      </c>
      <c r="E154" s="6" t="s">
        <v>104</v>
      </c>
      <c r="F154" s="6" t="s">
        <v>121</v>
      </c>
      <c r="G154" s="6" t="s">
        <v>80</v>
      </c>
      <c r="H154" s="6"/>
      <c r="I154" s="6" t="s">
        <v>1143</v>
      </c>
      <c r="J154" s="6" t="s">
        <v>1864</v>
      </c>
      <c r="K154" s="6" t="s">
        <v>1865</v>
      </c>
      <c r="L154" s="23"/>
      <c r="M154" s="6" t="s">
        <v>33</v>
      </c>
      <c r="N154" s="6"/>
      <c r="O154" s="6"/>
      <c r="P154" s="24"/>
      <c r="Q154" s="6"/>
      <c r="R154" s="6"/>
      <c r="S154" s="6"/>
    </row>
    <row r="155" spans="1:19" x14ac:dyDescent="0.25">
      <c r="A155" s="22" t="s">
        <v>1866</v>
      </c>
      <c r="B155" s="6" t="s">
        <v>1852</v>
      </c>
      <c r="C155" s="6" t="s">
        <v>1867</v>
      </c>
      <c r="D155" s="6" t="s">
        <v>209</v>
      </c>
      <c r="E155" s="6" t="s">
        <v>113</v>
      </c>
      <c r="F155" s="6" t="s">
        <v>121</v>
      </c>
      <c r="G155" s="6" t="s">
        <v>79</v>
      </c>
      <c r="H155" s="6"/>
      <c r="I155" s="6" t="s">
        <v>1868</v>
      </c>
      <c r="J155" s="6" t="s">
        <v>1869</v>
      </c>
      <c r="K155" s="6" t="s">
        <v>1870</v>
      </c>
      <c r="L155" s="23"/>
      <c r="M155" s="6" t="s">
        <v>33</v>
      </c>
      <c r="N155" s="6"/>
      <c r="O155" s="6"/>
      <c r="P155" s="24"/>
      <c r="Q155" s="6"/>
      <c r="R155" s="6"/>
      <c r="S155" s="6"/>
    </row>
    <row r="156" spans="1:19" x14ac:dyDescent="0.25">
      <c r="A156" s="22" t="s">
        <v>1871</v>
      </c>
      <c r="B156" s="6" t="s">
        <v>1852</v>
      </c>
      <c r="C156" s="6" t="s">
        <v>1872</v>
      </c>
      <c r="D156" s="6" t="s">
        <v>112</v>
      </c>
      <c r="E156" s="6" t="s">
        <v>104</v>
      </c>
      <c r="F156" s="6" t="s">
        <v>121</v>
      </c>
      <c r="G156" s="6" t="s">
        <v>80</v>
      </c>
      <c r="H156" s="6"/>
      <c r="I156" s="6" t="s">
        <v>1873</v>
      </c>
      <c r="J156" s="6" t="s">
        <v>1874</v>
      </c>
      <c r="K156" s="6" t="s">
        <v>1875</v>
      </c>
      <c r="L156" s="23"/>
      <c r="M156" s="6" t="s">
        <v>33</v>
      </c>
      <c r="N156" s="6"/>
      <c r="O156" s="6"/>
      <c r="P156" s="24"/>
      <c r="Q156" s="6"/>
      <c r="R156" s="6"/>
      <c r="S156" s="6"/>
    </row>
    <row r="157" spans="1:19" x14ac:dyDescent="0.25">
      <c r="A157" s="22" t="s">
        <v>1876</v>
      </c>
      <c r="B157" s="6" t="s">
        <v>1852</v>
      </c>
      <c r="C157" s="6" t="s">
        <v>1877</v>
      </c>
      <c r="D157" s="6" t="s">
        <v>103</v>
      </c>
      <c r="E157" s="6" t="s">
        <v>113</v>
      </c>
      <c r="F157" s="6" t="s">
        <v>121</v>
      </c>
      <c r="G157" s="6" t="s">
        <v>80</v>
      </c>
      <c r="H157" s="6"/>
      <c r="I157" s="6" t="s">
        <v>1878</v>
      </c>
      <c r="J157" s="6" t="s">
        <v>1879</v>
      </c>
      <c r="K157" s="6" t="s">
        <v>1880</v>
      </c>
      <c r="L157" s="23"/>
      <c r="M157" s="6" t="s">
        <v>33</v>
      </c>
      <c r="N157" s="6"/>
      <c r="O157" s="6"/>
      <c r="P157" s="24"/>
      <c r="Q157" s="6"/>
      <c r="R157" s="6"/>
      <c r="S157" s="6"/>
    </row>
    <row r="158" spans="1:19" x14ac:dyDescent="0.25">
      <c r="A158" s="22" t="s">
        <v>1881</v>
      </c>
      <c r="B158" s="6" t="s">
        <v>1852</v>
      </c>
      <c r="C158" s="6" t="s">
        <v>1882</v>
      </c>
      <c r="D158" s="6" t="s">
        <v>112</v>
      </c>
      <c r="E158" s="6" t="s">
        <v>113</v>
      </c>
      <c r="F158" s="6" t="s">
        <v>121</v>
      </c>
      <c r="G158" s="6" t="s">
        <v>80</v>
      </c>
      <c r="H158" s="6"/>
      <c r="I158" s="6" t="s">
        <v>1883</v>
      </c>
      <c r="J158" s="6" t="s">
        <v>1884</v>
      </c>
      <c r="K158" s="6" t="s">
        <v>1885</v>
      </c>
      <c r="L158" s="23"/>
      <c r="M158" s="6" t="s">
        <v>33</v>
      </c>
      <c r="N158" s="6"/>
      <c r="O158" s="6"/>
      <c r="P158" s="24"/>
      <c r="Q158" s="6"/>
      <c r="R158" s="6"/>
      <c r="S158" s="6"/>
    </row>
    <row r="159" spans="1:19" x14ac:dyDescent="0.25">
      <c r="A159" s="22" t="s">
        <v>1886</v>
      </c>
      <c r="B159" s="6" t="s">
        <v>1852</v>
      </c>
      <c r="C159" s="6" t="s">
        <v>1887</v>
      </c>
      <c r="D159" s="6" t="s">
        <v>112</v>
      </c>
      <c r="E159" s="6" t="s">
        <v>104</v>
      </c>
      <c r="F159" s="6" t="s">
        <v>121</v>
      </c>
      <c r="G159" s="6" t="s">
        <v>80</v>
      </c>
      <c r="H159" s="6"/>
      <c r="I159" s="6" t="s">
        <v>1888</v>
      </c>
      <c r="J159" s="6" t="s">
        <v>1889</v>
      </c>
      <c r="K159" s="6" t="s">
        <v>1890</v>
      </c>
      <c r="L159" s="23"/>
      <c r="M159" s="6" t="s">
        <v>33</v>
      </c>
      <c r="N159" s="6"/>
      <c r="O159" s="6"/>
      <c r="P159" s="24"/>
      <c r="Q159" s="6"/>
      <c r="R159" s="6"/>
      <c r="S159" s="6"/>
    </row>
    <row r="160" spans="1:19" x14ac:dyDescent="0.25">
      <c r="A160" s="22" t="s">
        <v>1891</v>
      </c>
      <c r="B160" s="6" t="s">
        <v>1852</v>
      </c>
      <c r="C160" s="6" t="s">
        <v>1892</v>
      </c>
      <c r="D160" s="6" t="s">
        <v>120</v>
      </c>
      <c r="E160" s="6" t="s">
        <v>113</v>
      </c>
      <c r="F160" s="6" t="s">
        <v>121</v>
      </c>
      <c r="G160" s="6" t="s">
        <v>80</v>
      </c>
      <c r="H160" s="6"/>
      <c r="I160" s="6" t="s">
        <v>1893</v>
      </c>
      <c r="J160" s="6" t="s">
        <v>1894</v>
      </c>
      <c r="K160" s="6" t="s">
        <v>1895</v>
      </c>
      <c r="L160" s="23"/>
      <c r="M160" s="6" t="s">
        <v>33</v>
      </c>
      <c r="N160" s="6"/>
      <c r="O160" s="6"/>
      <c r="P160" s="24"/>
      <c r="Q160" s="6"/>
      <c r="R160" s="6"/>
      <c r="S160" s="6"/>
    </row>
    <row r="161" spans="1:19" x14ac:dyDescent="0.25">
      <c r="A161" s="22" t="s">
        <v>1896</v>
      </c>
      <c r="B161" s="6" t="s">
        <v>1852</v>
      </c>
      <c r="C161" s="6" t="s">
        <v>1897</v>
      </c>
      <c r="D161" s="6" t="s">
        <v>103</v>
      </c>
      <c r="E161" s="6" t="s">
        <v>113</v>
      </c>
      <c r="F161" s="6" t="s">
        <v>121</v>
      </c>
      <c r="G161" s="6" t="s">
        <v>80</v>
      </c>
      <c r="H161" s="6"/>
      <c r="I161" s="6" t="s">
        <v>1898</v>
      </c>
      <c r="J161" s="6" t="s">
        <v>1899</v>
      </c>
      <c r="K161" s="6" t="s">
        <v>1900</v>
      </c>
      <c r="L161" s="23"/>
      <c r="M161" s="6" t="s">
        <v>33</v>
      </c>
      <c r="N161" s="6"/>
      <c r="O161" s="6"/>
      <c r="P161" s="24"/>
      <c r="Q161" s="6"/>
      <c r="R161" s="6"/>
      <c r="S161" s="6"/>
    </row>
    <row r="162" spans="1:19" x14ac:dyDescent="0.25">
      <c r="A162" s="22" t="s">
        <v>1901</v>
      </c>
      <c r="B162" s="6" t="s">
        <v>1852</v>
      </c>
      <c r="C162" s="6" t="s">
        <v>1902</v>
      </c>
      <c r="D162" s="6" t="s">
        <v>103</v>
      </c>
      <c r="E162" s="6" t="s">
        <v>104</v>
      </c>
      <c r="F162" s="6" t="s">
        <v>121</v>
      </c>
      <c r="G162" s="6" t="s">
        <v>80</v>
      </c>
      <c r="H162" s="6"/>
      <c r="I162" s="6" t="s">
        <v>1898</v>
      </c>
      <c r="J162" s="6" t="s">
        <v>1903</v>
      </c>
      <c r="K162" s="6" t="s">
        <v>1904</v>
      </c>
      <c r="L162" s="23"/>
      <c r="M162" s="6" t="s">
        <v>33</v>
      </c>
      <c r="N162" s="6"/>
      <c r="O162" s="6"/>
      <c r="P162" s="24"/>
      <c r="Q162" s="6"/>
      <c r="R162" s="6"/>
      <c r="S162" s="6"/>
    </row>
    <row r="163" spans="1:19" x14ac:dyDescent="0.25">
      <c r="A163" s="22" t="s">
        <v>1905</v>
      </c>
      <c r="B163" s="6" t="s">
        <v>1852</v>
      </c>
      <c r="C163" s="6" t="s">
        <v>1906</v>
      </c>
      <c r="D163" s="6" t="s">
        <v>112</v>
      </c>
      <c r="E163" s="6" t="s">
        <v>113</v>
      </c>
      <c r="F163" s="6" t="s">
        <v>121</v>
      </c>
      <c r="G163" s="6" t="s">
        <v>80</v>
      </c>
      <c r="H163" s="6"/>
      <c r="I163" s="6" t="s">
        <v>1907</v>
      </c>
      <c r="J163" s="6" t="s">
        <v>1908</v>
      </c>
      <c r="K163" s="6" t="s">
        <v>1909</v>
      </c>
      <c r="L163" s="23"/>
      <c r="M163" s="6" t="s">
        <v>33</v>
      </c>
      <c r="N163" s="6"/>
      <c r="O163" s="6"/>
      <c r="P163" s="24"/>
      <c r="Q163" s="6"/>
      <c r="R163" s="6"/>
      <c r="S163" s="6"/>
    </row>
    <row r="164" spans="1:19" x14ac:dyDescent="0.25">
      <c r="A164" s="22" t="s">
        <v>1910</v>
      </c>
      <c r="B164" s="6" t="s">
        <v>1852</v>
      </c>
      <c r="C164" s="6" t="s">
        <v>1911</v>
      </c>
      <c r="D164" s="6" t="s">
        <v>103</v>
      </c>
      <c r="E164" s="6" t="s">
        <v>104</v>
      </c>
      <c r="F164" s="6" t="s">
        <v>121</v>
      </c>
      <c r="G164" s="6" t="s">
        <v>80</v>
      </c>
      <c r="H164" s="6"/>
      <c r="I164" s="6" t="s">
        <v>1912</v>
      </c>
      <c r="J164" s="6" t="s">
        <v>1913</v>
      </c>
      <c r="K164" s="6" t="s">
        <v>1914</v>
      </c>
      <c r="L164" s="23"/>
      <c r="M164" s="6" t="s">
        <v>33</v>
      </c>
      <c r="N164" s="6"/>
      <c r="O164" s="6"/>
      <c r="P164" s="24"/>
      <c r="Q164" s="6"/>
      <c r="R164" s="6"/>
      <c r="S164" s="6"/>
    </row>
    <row r="165" spans="1:19" x14ac:dyDescent="0.25">
      <c r="A165" s="22" t="s">
        <v>1915</v>
      </c>
      <c r="B165" s="6" t="s">
        <v>1852</v>
      </c>
      <c r="C165" s="6" t="s">
        <v>1916</v>
      </c>
      <c r="D165" s="6" t="s">
        <v>209</v>
      </c>
      <c r="E165" s="6" t="s">
        <v>104</v>
      </c>
      <c r="F165" s="6" t="s">
        <v>121</v>
      </c>
      <c r="G165" s="6" t="s">
        <v>80</v>
      </c>
      <c r="H165" s="6"/>
      <c r="I165" s="6" t="s">
        <v>1917</v>
      </c>
      <c r="J165" s="6" t="s">
        <v>1918</v>
      </c>
      <c r="K165" s="6" t="s">
        <v>1919</v>
      </c>
      <c r="L165" s="23"/>
      <c r="M165" s="6" t="s">
        <v>33</v>
      </c>
      <c r="N165" s="6"/>
      <c r="O165" s="6"/>
      <c r="P165" s="24"/>
      <c r="Q165" s="6"/>
      <c r="R165" s="6"/>
      <c r="S165" s="6"/>
    </row>
    <row r="166" spans="1:19" x14ac:dyDescent="0.25">
      <c r="A166" s="22" t="s">
        <v>1920</v>
      </c>
      <c r="B166" s="6" t="s">
        <v>1852</v>
      </c>
      <c r="C166" s="6" t="s">
        <v>1921</v>
      </c>
      <c r="D166" s="6" t="s">
        <v>103</v>
      </c>
      <c r="E166" s="6" t="s">
        <v>113</v>
      </c>
      <c r="F166" s="6" t="s">
        <v>121</v>
      </c>
      <c r="G166" s="6" t="s">
        <v>80</v>
      </c>
      <c r="H166" s="6"/>
      <c r="I166" s="6" t="s">
        <v>1922</v>
      </c>
      <c r="J166" s="6" t="s">
        <v>1923</v>
      </c>
      <c r="K166" s="6" t="s">
        <v>1924</v>
      </c>
      <c r="L166" s="23"/>
      <c r="M166" s="6" t="s">
        <v>33</v>
      </c>
      <c r="N166" s="6"/>
      <c r="O166" s="6"/>
      <c r="P166" s="24"/>
      <c r="Q166" s="6"/>
      <c r="R166" s="6"/>
      <c r="S166" s="6"/>
    </row>
    <row r="167" spans="1:19" x14ac:dyDescent="0.25">
      <c r="A167" s="22" t="s">
        <v>1925</v>
      </c>
      <c r="B167" s="6" t="s">
        <v>1852</v>
      </c>
      <c r="C167" s="6" t="s">
        <v>1926</v>
      </c>
      <c r="D167" s="6" t="s">
        <v>209</v>
      </c>
      <c r="E167" s="6" t="s">
        <v>104</v>
      </c>
      <c r="F167" s="6" t="s">
        <v>121</v>
      </c>
      <c r="G167" s="6" t="s">
        <v>80</v>
      </c>
      <c r="H167" s="6"/>
      <c r="I167" s="6" t="s">
        <v>1927</v>
      </c>
      <c r="J167" s="6" t="s">
        <v>1928</v>
      </c>
      <c r="K167" s="6" t="s">
        <v>1929</v>
      </c>
      <c r="L167" s="23"/>
      <c r="M167" s="6" t="s">
        <v>33</v>
      </c>
      <c r="N167" s="6"/>
      <c r="O167" s="6"/>
      <c r="P167" s="24"/>
      <c r="Q167" s="6"/>
      <c r="R167" s="6"/>
      <c r="S167" s="6"/>
    </row>
    <row r="168" spans="1:19" x14ac:dyDescent="0.25">
      <c r="A168" s="22" t="s">
        <v>1930</v>
      </c>
      <c r="B168" s="6" t="s">
        <v>1852</v>
      </c>
      <c r="C168" s="6" t="s">
        <v>1931</v>
      </c>
      <c r="D168" s="6" t="s">
        <v>112</v>
      </c>
      <c r="E168" s="6" t="s">
        <v>104</v>
      </c>
      <c r="F168" s="6" t="s">
        <v>121</v>
      </c>
      <c r="G168" s="6" t="s">
        <v>80</v>
      </c>
      <c r="H168" s="6"/>
      <c r="I168" s="6" t="s">
        <v>1932</v>
      </c>
      <c r="J168" s="6" t="s">
        <v>1933</v>
      </c>
      <c r="K168" s="6" t="s">
        <v>1934</v>
      </c>
      <c r="L168" s="23"/>
      <c r="M168" s="6" t="s">
        <v>33</v>
      </c>
      <c r="N168" s="6"/>
      <c r="O168" s="6"/>
      <c r="P168" s="24"/>
      <c r="Q168" s="6"/>
      <c r="R168" s="6"/>
      <c r="S168" s="6"/>
    </row>
    <row r="169" spans="1:19" x14ac:dyDescent="0.25">
      <c r="A169" s="22" t="s">
        <v>1935</v>
      </c>
      <c r="B169" s="6" t="s">
        <v>1852</v>
      </c>
      <c r="C169" s="6" t="s">
        <v>1936</v>
      </c>
      <c r="D169" s="6" t="s">
        <v>103</v>
      </c>
      <c r="E169" s="6" t="s">
        <v>104</v>
      </c>
      <c r="F169" s="6" t="s">
        <v>121</v>
      </c>
      <c r="G169" s="6" t="s">
        <v>80</v>
      </c>
      <c r="H169" s="6"/>
      <c r="I169" s="6" t="s">
        <v>1937</v>
      </c>
      <c r="J169" s="6" t="s">
        <v>1938</v>
      </c>
      <c r="K169" s="6" t="s">
        <v>1939</v>
      </c>
      <c r="L169" s="23"/>
      <c r="M169" s="6" t="s">
        <v>33</v>
      </c>
      <c r="N169" s="6"/>
      <c r="O169" s="6"/>
      <c r="P169" s="24"/>
      <c r="Q169" s="6"/>
      <c r="R169" s="6"/>
      <c r="S169" s="6"/>
    </row>
    <row r="170" spans="1:19" x14ac:dyDescent="0.25">
      <c r="A170" s="22" t="s">
        <v>1940</v>
      </c>
      <c r="B170" s="6" t="s">
        <v>1852</v>
      </c>
      <c r="C170" s="6" t="s">
        <v>1941</v>
      </c>
      <c r="D170" s="6" t="s">
        <v>103</v>
      </c>
      <c r="E170" s="6" t="s">
        <v>104</v>
      </c>
      <c r="F170" s="6" t="s">
        <v>105</v>
      </c>
      <c r="G170" s="6" t="s">
        <v>80</v>
      </c>
      <c r="H170" s="6"/>
      <c r="I170" s="6" t="s">
        <v>1942</v>
      </c>
      <c r="J170" s="6" t="s">
        <v>1943</v>
      </c>
      <c r="K170" s="6" t="s">
        <v>1944</v>
      </c>
      <c r="L170" s="23"/>
      <c r="M170" s="6" t="s">
        <v>33</v>
      </c>
      <c r="N170" s="6"/>
      <c r="O170" s="6"/>
      <c r="P170" s="24"/>
      <c r="Q170" s="6"/>
      <c r="R170" s="6"/>
      <c r="S170" s="6"/>
    </row>
    <row r="171" spans="1:19" x14ac:dyDescent="0.25">
      <c r="A171" s="22" t="s">
        <v>1945</v>
      </c>
      <c r="B171" s="6" t="s">
        <v>1852</v>
      </c>
      <c r="C171" s="6" t="s">
        <v>1946</v>
      </c>
      <c r="D171" s="6" t="s">
        <v>112</v>
      </c>
      <c r="E171" s="6" t="s">
        <v>104</v>
      </c>
      <c r="F171" s="6" t="s">
        <v>121</v>
      </c>
      <c r="G171" s="6" t="s">
        <v>80</v>
      </c>
      <c r="H171" s="6"/>
      <c r="I171" s="6" t="s">
        <v>1947</v>
      </c>
      <c r="J171" s="6" t="s">
        <v>1948</v>
      </c>
      <c r="K171" s="6" t="s">
        <v>1949</v>
      </c>
      <c r="L171" s="23"/>
      <c r="M171" s="6" t="s">
        <v>33</v>
      </c>
      <c r="N171" s="6"/>
      <c r="O171" s="6"/>
      <c r="P171" s="24"/>
      <c r="Q171" s="6"/>
      <c r="R171" s="6"/>
      <c r="S171" s="6"/>
    </row>
    <row r="172" spans="1:19" x14ac:dyDescent="0.25">
      <c r="A172" s="22" t="s">
        <v>1950</v>
      </c>
      <c r="B172" s="6" t="s">
        <v>1951</v>
      </c>
      <c r="C172" s="6" t="s">
        <v>1952</v>
      </c>
      <c r="D172" s="6" t="s">
        <v>103</v>
      </c>
      <c r="E172" s="6" t="s">
        <v>104</v>
      </c>
      <c r="F172" s="6" t="s">
        <v>121</v>
      </c>
      <c r="G172" s="6" t="s">
        <v>80</v>
      </c>
      <c r="H172" s="6"/>
      <c r="I172" s="6" t="s">
        <v>1953</v>
      </c>
      <c r="J172" s="6" t="s">
        <v>1954</v>
      </c>
      <c r="K172" s="6" t="s">
        <v>1955</v>
      </c>
      <c r="L172" s="23"/>
      <c r="M172" s="6" t="s">
        <v>33</v>
      </c>
      <c r="N172" s="6"/>
      <c r="O172" s="6"/>
      <c r="P172" s="24"/>
      <c r="Q172" s="6"/>
      <c r="R172" s="6"/>
      <c r="S172" s="6"/>
    </row>
    <row r="173" spans="1:19" x14ac:dyDescent="0.25">
      <c r="A173" s="22" t="s">
        <v>1956</v>
      </c>
      <c r="B173" s="6" t="s">
        <v>1951</v>
      </c>
      <c r="C173" s="6" t="s">
        <v>1957</v>
      </c>
      <c r="D173" s="6" t="s">
        <v>112</v>
      </c>
      <c r="E173" s="6" t="s">
        <v>113</v>
      </c>
      <c r="F173" s="6" t="s">
        <v>105</v>
      </c>
      <c r="G173" s="6" t="s">
        <v>80</v>
      </c>
      <c r="H173" s="6"/>
      <c r="I173" s="6" t="s">
        <v>1958</v>
      </c>
      <c r="J173" s="6" t="s">
        <v>1959</v>
      </c>
      <c r="K173" s="6" t="s">
        <v>1960</v>
      </c>
      <c r="L173" s="23"/>
      <c r="M173" s="6" t="s">
        <v>33</v>
      </c>
      <c r="N173" s="6"/>
      <c r="O173" s="6"/>
      <c r="P173" s="24"/>
      <c r="Q173" s="6"/>
      <c r="R173" s="6"/>
      <c r="S173" s="6"/>
    </row>
    <row r="174" spans="1:19" x14ac:dyDescent="0.25">
      <c r="A174" s="22" t="s">
        <v>1961</v>
      </c>
      <c r="B174" s="6" t="s">
        <v>1962</v>
      </c>
      <c r="C174" s="6" t="s">
        <v>1963</v>
      </c>
      <c r="D174" s="6" t="s">
        <v>103</v>
      </c>
      <c r="E174" s="6" t="s">
        <v>113</v>
      </c>
      <c r="F174" s="6" t="s">
        <v>121</v>
      </c>
      <c r="G174" s="6" t="s">
        <v>80</v>
      </c>
      <c r="H174" s="6"/>
      <c r="I174" s="6" t="s">
        <v>1143</v>
      </c>
      <c r="J174" s="6" t="s">
        <v>1964</v>
      </c>
      <c r="K174" s="6" t="s">
        <v>1965</v>
      </c>
      <c r="L174" s="23"/>
      <c r="M174" s="6" t="s">
        <v>33</v>
      </c>
      <c r="N174" s="6"/>
      <c r="O174" s="6"/>
      <c r="P174" s="24"/>
      <c r="Q174" s="6"/>
      <c r="R174" s="6"/>
      <c r="S174" s="6"/>
    </row>
    <row r="175" spans="1:19" x14ac:dyDescent="0.25">
      <c r="A175" s="22" t="s">
        <v>1966</v>
      </c>
      <c r="B175" s="6" t="s">
        <v>1962</v>
      </c>
      <c r="C175" s="6" t="s">
        <v>1967</v>
      </c>
      <c r="D175" s="6" t="s">
        <v>103</v>
      </c>
      <c r="E175" s="6" t="s">
        <v>104</v>
      </c>
      <c r="F175" s="6" t="s">
        <v>105</v>
      </c>
      <c r="G175" s="6" t="s">
        <v>80</v>
      </c>
      <c r="H175" s="6"/>
      <c r="I175" s="6" t="s">
        <v>1143</v>
      </c>
      <c r="J175" s="6" t="s">
        <v>1968</v>
      </c>
      <c r="K175" s="6" t="s">
        <v>1969</v>
      </c>
      <c r="L175" s="23"/>
      <c r="M175" s="6" t="s">
        <v>33</v>
      </c>
      <c r="N175" s="6"/>
      <c r="O175" s="6"/>
      <c r="P175" s="24"/>
      <c r="Q175" s="6"/>
      <c r="R175" s="6"/>
      <c r="S175" s="6"/>
    </row>
    <row r="176" spans="1:19" x14ac:dyDescent="0.25">
      <c r="A176" s="22" t="s">
        <v>1970</v>
      </c>
      <c r="B176" s="6" t="s">
        <v>1962</v>
      </c>
      <c r="C176" s="6" t="s">
        <v>1971</v>
      </c>
      <c r="D176" s="6" t="s">
        <v>209</v>
      </c>
      <c r="E176" s="6" t="s">
        <v>113</v>
      </c>
      <c r="F176" s="6" t="s">
        <v>105</v>
      </c>
      <c r="G176" s="6" t="s">
        <v>80</v>
      </c>
      <c r="H176" s="6"/>
      <c r="I176" s="6" t="s">
        <v>1143</v>
      </c>
      <c r="J176" s="6" t="s">
        <v>1972</v>
      </c>
      <c r="K176" s="6" t="s">
        <v>1973</v>
      </c>
      <c r="L176" s="23"/>
      <c r="M176" s="6" t="s">
        <v>33</v>
      </c>
      <c r="N176" s="6"/>
      <c r="O176" s="6"/>
      <c r="P176" s="24"/>
      <c r="Q176" s="6"/>
      <c r="R176" s="6"/>
      <c r="S176" s="6"/>
    </row>
    <row r="177" spans="1:19" x14ac:dyDescent="0.25">
      <c r="A177" s="22" t="s">
        <v>1974</v>
      </c>
      <c r="B177" s="6" t="s">
        <v>1962</v>
      </c>
      <c r="C177" s="6" t="s">
        <v>1975</v>
      </c>
      <c r="D177" s="6" t="s">
        <v>103</v>
      </c>
      <c r="E177" s="6" t="s">
        <v>113</v>
      </c>
      <c r="F177" s="6" t="s">
        <v>121</v>
      </c>
      <c r="G177" s="6" t="s">
        <v>80</v>
      </c>
      <c r="H177" s="6"/>
      <c r="I177" s="6" t="s">
        <v>1143</v>
      </c>
      <c r="J177" s="6" t="s">
        <v>1976</v>
      </c>
      <c r="K177" s="6" t="s">
        <v>1977</v>
      </c>
      <c r="L177" s="23"/>
      <c r="M177" s="6" t="s">
        <v>33</v>
      </c>
      <c r="N177" s="6"/>
      <c r="O177" s="6"/>
      <c r="P177" s="24"/>
      <c r="Q177" s="6"/>
      <c r="R177" s="6"/>
      <c r="S177" s="6"/>
    </row>
    <row r="178" spans="1:19" x14ac:dyDescent="0.25">
      <c r="A178" s="22" t="s">
        <v>1978</v>
      </c>
      <c r="B178" s="6" t="s">
        <v>1962</v>
      </c>
      <c r="C178" s="6" t="s">
        <v>1979</v>
      </c>
      <c r="D178" s="6" t="s">
        <v>209</v>
      </c>
      <c r="E178" s="6" t="s">
        <v>104</v>
      </c>
      <c r="F178" s="6" t="s">
        <v>105</v>
      </c>
      <c r="G178" s="6" t="s">
        <v>80</v>
      </c>
      <c r="H178" s="6"/>
      <c r="I178" s="6" t="s">
        <v>1980</v>
      </c>
      <c r="J178" s="6" t="s">
        <v>1981</v>
      </c>
      <c r="K178" s="6" t="s">
        <v>1982</v>
      </c>
      <c r="L178" s="23"/>
      <c r="M178" s="6" t="s">
        <v>33</v>
      </c>
      <c r="N178" s="6"/>
      <c r="O178" s="6"/>
      <c r="P178" s="24"/>
      <c r="Q178" s="6"/>
      <c r="R178" s="6"/>
      <c r="S178" s="6"/>
    </row>
    <row r="179" spans="1:19" x14ac:dyDescent="0.25">
      <c r="A179" s="22" t="s">
        <v>1983</v>
      </c>
      <c r="B179" s="6" t="s">
        <v>1962</v>
      </c>
      <c r="C179" s="6" t="s">
        <v>1984</v>
      </c>
      <c r="D179" s="6" t="s">
        <v>209</v>
      </c>
      <c r="E179" s="6" t="s">
        <v>113</v>
      </c>
      <c r="F179" s="6" t="s">
        <v>105</v>
      </c>
      <c r="G179" s="6" t="s">
        <v>80</v>
      </c>
      <c r="H179" s="6"/>
      <c r="I179" s="6" t="s">
        <v>1143</v>
      </c>
      <c r="J179" s="6" t="s">
        <v>1985</v>
      </c>
      <c r="K179" s="6" t="s">
        <v>1986</v>
      </c>
      <c r="L179" s="23"/>
      <c r="M179" s="6" t="s">
        <v>33</v>
      </c>
      <c r="N179" s="6"/>
      <c r="O179" s="6"/>
      <c r="P179" s="24"/>
      <c r="Q179" s="6"/>
      <c r="R179" s="6"/>
      <c r="S179" s="6"/>
    </row>
    <row r="180" spans="1:19" x14ac:dyDescent="0.25">
      <c r="A180" s="22" t="s">
        <v>1987</v>
      </c>
      <c r="B180" s="6" t="s">
        <v>1962</v>
      </c>
      <c r="C180" s="6" t="s">
        <v>1988</v>
      </c>
      <c r="D180" s="6" t="s">
        <v>112</v>
      </c>
      <c r="E180" s="6" t="s">
        <v>104</v>
      </c>
      <c r="F180" s="6" t="s">
        <v>105</v>
      </c>
      <c r="G180" s="6" t="s">
        <v>80</v>
      </c>
      <c r="H180" s="6"/>
      <c r="I180" s="6" t="s">
        <v>1989</v>
      </c>
      <c r="J180" s="6" t="s">
        <v>1990</v>
      </c>
      <c r="K180" s="6" t="s">
        <v>1991</v>
      </c>
      <c r="L180" s="23"/>
      <c r="M180" s="6" t="s">
        <v>33</v>
      </c>
      <c r="N180" s="6"/>
      <c r="O180" s="6"/>
      <c r="P180" s="24"/>
      <c r="Q180" s="6"/>
      <c r="R180" s="6"/>
      <c r="S180" s="6"/>
    </row>
    <row r="181" spans="1:19" x14ac:dyDescent="0.25">
      <c r="A181" s="22" t="s">
        <v>1992</v>
      </c>
      <c r="B181" s="6" t="s">
        <v>1962</v>
      </c>
      <c r="C181" s="6" t="s">
        <v>1993</v>
      </c>
      <c r="D181" s="6" t="s">
        <v>103</v>
      </c>
      <c r="E181" s="6" t="s">
        <v>113</v>
      </c>
      <c r="F181" s="6" t="s">
        <v>105</v>
      </c>
      <c r="G181" s="6" t="s">
        <v>80</v>
      </c>
      <c r="H181" s="6"/>
      <c r="I181" s="6" t="s">
        <v>1994</v>
      </c>
      <c r="J181" s="6" t="s">
        <v>1995</v>
      </c>
      <c r="K181" s="6" t="s">
        <v>1996</v>
      </c>
      <c r="L181" s="23"/>
      <c r="M181" s="6" t="s">
        <v>33</v>
      </c>
      <c r="N181" s="6"/>
      <c r="O181" s="6"/>
      <c r="P181" s="24"/>
      <c r="Q181" s="6"/>
      <c r="R181" s="6"/>
      <c r="S181" s="6"/>
    </row>
    <row r="182" spans="1:19" x14ac:dyDescent="0.25">
      <c r="A182" s="22" t="s">
        <v>1997</v>
      </c>
      <c r="B182" s="6" t="s">
        <v>1962</v>
      </c>
      <c r="C182" s="6" t="s">
        <v>1998</v>
      </c>
      <c r="D182" s="6" t="s">
        <v>209</v>
      </c>
      <c r="E182" s="6" t="s">
        <v>104</v>
      </c>
      <c r="F182" s="6" t="s">
        <v>105</v>
      </c>
      <c r="G182" s="6" t="s">
        <v>80</v>
      </c>
      <c r="H182" s="6"/>
      <c r="I182" s="6" t="s">
        <v>1999</v>
      </c>
      <c r="J182" s="6" t="s">
        <v>2000</v>
      </c>
      <c r="K182" s="6" t="s">
        <v>2001</v>
      </c>
      <c r="L182" s="23"/>
      <c r="M182" s="6" t="s">
        <v>33</v>
      </c>
      <c r="N182" s="6"/>
      <c r="O182" s="6"/>
      <c r="P182" s="24"/>
      <c r="Q182" s="6"/>
      <c r="R182" s="6"/>
      <c r="S182" s="6"/>
    </row>
    <row r="183" spans="1:19" x14ac:dyDescent="0.25">
      <c r="A183" s="22" t="s">
        <v>2002</v>
      </c>
      <c r="B183" s="6" t="s">
        <v>2003</v>
      </c>
      <c r="C183" s="6" t="s">
        <v>2004</v>
      </c>
      <c r="D183" s="6" t="s">
        <v>103</v>
      </c>
      <c r="E183" s="6" t="s">
        <v>104</v>
      </c>
      <c r="F183" s="6" t="s">
        <v>121</v>
      </c>
      <c r="G183" s="6" t="s">
        <v>80</v>
      </c>
      <c r="H183" s="6"/>
      <c r="I183" s="6" t="s">
        <v>1143</v>
      </c>
      <c r="J183" s="6" t="s">
        <v>2005</v>
      </c>
      <c r="K183" s="6" t="s">
        <v>2006</v>
      </c>
      <c r="L183" s="23"/>
      <c r="M183" s="6" t="s">
        <v>33</v>
      </c>
      <c r="N183" s="6"/>
      <c r="O183" s="6"/>
      <c r="P183" s="24"/>
      <c r="Q183" s="6"/>
      <c r="R183" s="6"/>
      <c r="S183" s="6"/>
    </row>
    <row r="184" spans="1:19" x14ac:dyDescent="0.25">
      <c r="A184" s="22" t="s">
        <v>2007</v>
      </c>
      <c r="B184" s="6" t="s">
        <v>2003</v>
      </c>
      <c r="C184" s="6" t="s">
        <v>2008</v>
      </c>
      <c r="D184" s="6" t="s">
        <v>103</v>
      </c>
      <c r="E184" s="6" t="s">
        <v>104</v>
      </c>
      <c r="F184" s="6" t="s">
        <v>105</v>
      </c>
      <c r="G184" s="6" t="s">
        <v>80</v>
      </c>
      <c r="H184" s="6"/>
      <c r="I184" s="6" t="s">
        <v>2009</v>
      </c>
      <c r="J184" s="6" t="s">
        <v>2010</v>
      </c>
      <c r="K184" s="6" t="s">
        <v>2011</v>
      </c>
      <c r="L184" s="23"/>
      <c r="M184" s="6" t="s">
        <v>33</v>
      </c>
      <c r="N184" s="6"/>
      <c r="O184" s="6"/>
      <c r="P184" s="24"/>
      <c r="Q184" s="6"/>
      <c r="R184" s="6"/>
      <c r="S184" s="6"/>
    </row>
    <row r="185" spans="1:19" x14ac:dyDescent="0.25">
      <c r="A185" s="22" t="s">
        <v>2012</v>
      </c>
      <c r="B185" s="6" t="s">
        <v>2003</v>
      </c>
      <c r="C185" s="6" t="s">
        <v>2013</v>
      </c>
      <c r="D185" s="6" t="s">
        <v>103</v>
      </c>
      <c r="E185" s="6" t="s">
        <v>104</v>
      </c>
      <c r="F185" s="6" t="s">
        <v>105</v>
      </c>
      <c r="G185" s="6" t="s">
        <v>80</v>
      </c>
      <c r="H185" s="6"/>
      <c r="I185" s="6" t="s">
        <v>2014</v>
      </c>
      <c r="J185" s="6" t="s">
        <v>2015</v>
      </c>
      <c r="K185" s="6" t="s">
        <v>2016</v>
      </c>
      <c r="L185" s="23"/>
      <c r="M185" s="6" t="s">
        <v>33</v>
      </c>
      <c r="N185" s="6"/>
      <c r="O185" s="6"/>
      <c r="P185" s="24"/>
      <c r="Q185" s="6"/>
      <c r="R185" s="6"/>
      <c r="S185" s="6"/>
    </row>
    <row r="186" spans="1:19" x14ac:dyDescent="0.25">
      <c r="A186" s="22" t="s">
        <v>2017</v>
      </c>
      <c r="B186" s="6" t="s">
        <v>2003</v>
      </c>
      <c r="C186" s="6" t="s">
        <v>2018</v>
      </c>
      <c r="D186" s="6" t="s">
        <v>209</v>
      </c>
      <c r="E186" s="6" t="s">
        <v>113</v>
      </c>
      <c r="F186" s="6" t="s">
        <v>105</v>
      </c>
      <c r="G186" s="6" t="s">
        <v>80</v>
      </c>
      <c r="H186" s="6"/>
      <c r="I186" s="6" t="s">
        <v>2019</v>
      </c>
      <c r="J186" s="6" t="s">
        <v>2020</v>
      </c>
      <c r="K186" s="6" t="s">
        <v>2021</v>
      </c>
      <c r="L186" s="23"/>
      <c r="M186" s="6" t="s">
        <v>33</v>
      </c>
      <c r="N186" s="6"/>
      <c r="O186" s="6"/>
      <c r="P186" s="24"/>
      <c r="Q186" s="6"/>
      <c r="R186" s="6"/>
      <c r="S186" s="6"/>
    </row>
    <row r="187" spans="1:19" x14ac:dyDescent="0.25">
      <c r="A187" s="22" t="s">
        <v>2022</v>
      </c>
      <c r="B187" s="6" t="s">
        <v>2003</v>
      </c>
      <c r="C187" s="6" t="s">
        <v>2023</v>
      </c>
      <c r="D187" s="6" t="s">
        <v>209</v>
      </c>
      <c r="E187" s="6" t="s">
        <v>104</v>
      </c>
      <c r="F187" s="6" t="s">
        <v>105</v>
      </c>
      <c r="G187" s="6" t="s">
        <v>80</v>
      </c>
      <c r="H187" s="6"/>
      <c r="I187" s="6" t="s">
        <v>2019</v>
      </c>
      <c r="J187" s="6" t="s">
        <v>2024</v>
      </c>
      <c r="K187" s="6" t="s">
        <v>2025</v>
      </c>
      <c r="L187" s="23" t="s">
        <v>2026</v>
      </c>
      <c r="M187" s="6" t="s">
        <v>33</v>
      </c>
      <c r="N187" s="6"/>
      <c r="O187" s="6"/>
      <c r="P187" s="24"/>
      <c r="Q187" s="6"/>
      <c r="R187" s="6"/>
      <c r="S187" s="6"/>
    </row>
    <row r="188" spans="1:19" x14ac:dyDescent="0.25">
      <c r="A188" s="22" t="s">
        <v>2027</v>
      </c>
      <c r="B188" s="6" t="s">
        <v>2003</v>
      </c>
      <c r="C188" s="6" t="s">
        <v>2028</v>
      </c>
      <c r="D188" s="6" t="s">
        <v>112</v>
      </c>
      <c r="E188" s="6" t="s">
        <v>104</v>
      </c>
      <c r="F188" s="6" t="s">
        <v>105</v>
      </c>
      <c r="G188" s="6" t="s">
        <v>80</v>
      </c>
      <c r="H188" s="6"/>
      <c r="I188" s="6" t="s">
        <v>2029</v>
      </c>
      <c r="J188" s="6" t="s">
        <v>2030</v>
      </c>
      <c r="K188" s="6" t="s">
        <v>2031</v>
      </c>
      <c r="L188" s="23"/>
      <c r="M188" s="6" t="s">
        <v>33</v>
      </c>
      <c r="N188" s="6"/>
      <c r="O188" s="6"/>
      <c r="P188" s="24"/>
      <c r="Q188" s="6"/>
      <c r="R188" s="6"/>
      <c r="S188" s="6"/>
    </row>
    <row r="189" spans="1:19" x14ac:dyDescent="0.25">
      <c r="A189" s="22" t="s">
        <v>2032</v>
      </c>
      <c r="B189" s="6" t="s">
        <v>2003</v>
      </c>
      <c r="C189" s="6" t="s">
        <v>2033</v>
      </c>
      <c r="D189" s="6" t="s">
        <v>112</v>
      </c>
      <c r="E189" s="6" t="s">
        <v>113</v>
      </c>
      <c r="F189" s="6" t="s">
        <v>105</v>
      </c>
      <c r="G189" s="6" t="s">
        <v>80</v>
      </c>
      <c r="H189" s="6"/>
      <c r="I189" s="6" t="s">
        <v>2034</v>
      </c>
      <c r="J189" s="6" t="s">
        <v>2035</v>
      </c>
      <c r="K189" s="6" t="s">
        <v>2036</v>
      </c>
      <c r="L189" s="23"/>
      <c r="M189" s="6" t="s">
        <v>33</v>
      </c>
      <c r="N189" s="6"/>
      <c r="O189" s="6"/>
      <c r="P189" s="24"/>
      <c r="Q189" s="6"/>
      <c r="R189" s="6"/>
      <c r="S189" s="6"/>
    </row>
    <row r="190" spans="1:19" x14ac:dyDescent="0.25">
      <c r="A190" s="22" t="s">
        <v>2037</v>
      </c>
      <c r="B190" s="6" t="s">
        <v>2038</v>
      </c>
      <c r="C190" s="6" t="s">
        <v>2039</v>
      </c>
      <c r="D190" s="6" t="s">
        <v>103</v>
      </c>
      <c r="E190" s="6" t="s">
        <v>104</v>
      </c>
      <c r="F190" s="6" t="s">
        <v>105</v>
      </c>
      <c r="G190" s="6" t="s">
        <v>80</v>
      </c>
      <c r="H190" s="6"/>
      <c r="I190" s="6" t="s">
        <v>2040</v>
      </c>
      <c r="J190" s="6" t="s">
        <v>2041</v>
      </c>
      <c r="K190" s="6" t="s">
        <v>2042</v>
      </c>
      <c r="L190" s="23"/>
      <c r="M190" s="6" t="s">
        <v>33</v>
      </c>
      <c r="N190" s="6"/>
      <c r="O190" s="6"/>
      <c r="P190" s="24"/>
      <c r="Q190" s="6"/>
      <c r="R190" s="6"/>
      <c r="S190" s="6"/>
    </row>
    <row r="191" spans="1:19" x14ac:dyDescent="0.25">
      <c r="A191" s="22" t="s">
        <v>2043</v>
      </c>
      <c r="B191" s="6" t="s">
        <v>2038</v>
      </c>
      <c r="C191" s="6" t="s">
        <v>2044</v>
      </c>
      <c r="D191" s="6" t="s">
        <v>112</v>
      </c>
      <c r="E191" s="6" t="s">
        <v>104</v>
      </c>
      <c r="F191" s="6" t="s">
        <v>105</v>
      </c>
      <c r="G191" s="6" t="s">
        <v>80</v>
      </c>
      <c r="H191" s="6"/>
      <c r="I191" s="6" t="s">
        <v>1143</v>
      </c>
      <c r="J191" s="6" t="s">
        <v>2045</v>
      </c>
      <c r="K191" s="6" t="s">
        <v>2046</v>
      </c>
      <c r="L191" s="23"/>
      <c r="M191" s="6" t="s">
        <v>33</v>
      </c>
      <c r="N191" s="6"/>
      <c r="O191" s="6"/>
      <c r="P191" s="24"/>
      <c r="Q191" s="6"/>
      <c r="R191" s="6"/>
      <c r="S191" s="6"/>
    </row>
    <row r="192" spans="1:19" x14ac:dyDescent="0.25">
      <c r="A192" s="22" t="s">
        <v>2047</v>
      </c>
      <c r="B192" s="6" t="s">
        <v>2038</v>
      </c>
      <c r="C192" s="6" t="s">
        <v>2048</v>
      </c>
      <c r="D192" s="6" t="s">
        <v>112</v>
      </c>
      <c r="E192" s="6" t="s">
        <v>104</v>
      </c>
      <c r="F192" s="6" t="s">
        <v>105</v>
      </c>
      <c r="G192" s="6" t="s">
        <v>80</v>
      </c>
      <c r="H192" s="6"/>
      <c r="I192" s="6" t="s">
        <v>2049</v>
      </c>
      <c r="J192" s="6" t="s">
        <v>2050</v>
      </c>
      <c r="K192" s="6" t="s">
        <v>2051</v>
      </c>
      <c r="L192" s="23"/>
      <c r="M192" s="6" t="s">
        <v>33</v>
      </c>
      <c r="N192" s="6"/>
      <c r="O192" s="6"/>
      <c r="P192" s="24"/>
      <c r="Q192" s="6"/>
      <c r="R192" s="6"/>
      <c r="S192" s="6"/>
    </row>
    <row r="193" spans="1:19" x14ac:dyDescent="0.25">
      <c r="A193" s="22" t="s">
        <v>2052</v>
      </c>
      <c r="B193" s="6" t="s">
        <v>2038</v>
      </c>
      <c r="C193" s="6" t="s">
        <v>2053</v>
      </c>
      <c r="D193" s="6" t="s">
        <v>103</v>
      </c>
      <c r="E193" s="6" t="s">
        <v>113</v>
      </c>
      <c r="F193" s="6" t="s">
        <v>121</v>
      </c>
      <c r="G193" s="6" t="s">
        <v>80</v>
      </c>
      <c r="H193" s="6"/>
      <c r="I193" s="6" t="s">
        <v>1143</v>
      </c>
      <c r="J193" s="6" t="s">
        <v>2054</v>
      </c>
      <c r="K193" s="6" t="s">
        <v>2055</v>
      </c>
      <c r="L193" s="23"/>
      <c r="M193" s="6" t="s">
        <v>33</v>
      </c>
      <c r="N193" s="6"/>
      <c r="O193" s="6"/>
      <c r="P193" s="24"/>
      <c r="Q193" s="6"/>
      <c r="R193" s="6"/>
      <c r="S193" s="6"/>
    </row>
    <row r="194" spans="1:19" x14ac:dyDescent="0.25">
      <c r="A194" s="22" t="s">
        <v>2056</v>
      </c>
      <c r="B194" s="6" t="s">
        <v>2057</v>
      </c>
      <c r="C194" s="6" t="s">
        <v>2058</v>
      </c>
      <c r="D194" s="6" t="s">
        <v>103</v>
      </c>
      <c r="E194" s="6" t="s">
        <v>113</v>
      </c>
      <c r="F194" s="6" t="s">
        <v>121</v>
      </c>
      <c r="G194" s="6" t="s">
        <v>80</v>
      </c>
      <c r="H194" s="6"/>
      <c r="I194" s="6" t="s">
        <v>1143</v>
      </c>
      <c r="J194" s="6" t="s">
        <v>2059</v>
      </c>
      <c r="K194" s="6" t="s">
        <v>2060</v>
      </c>
      <c r="L194" s="23"/>
      <c r="M194" s="6" t="s">
        <v>33</v>
      </c>
      <c r="N194" s="6"/>
      <c r="O194" s="6"/>
      <c r="P194" s="24"/>
      <c r="Q194" s="6"/>
      <c r="R194" s="6"/>
      <c r="S194" s="6"/>
    </row>
    <row r="195" spans="1:19" x14ac:dyDescent="0.25">
      <c r="A195" s="22" t="s">
        <v>2061</v>
      </c>
      <c r="B195" s="6" t="s">
        <v>2057</v>
      </c>
      <c r="C195" s="6" t="s">
        <v>2062</v>
      </c>
      <c r="D195" s="6" t="s">
        <v>103</v>
      </c>
      <c r="E195" s="6" t="s">
        <v>104</v>
      </c>
      <c r="F195" s="6" t="s">
        <v>105</v>
      </c>
      <c r="G195" s="6" t="s">
        <v>80</v>
      </c>
      <c r="H195" s="6"/>
      <c r="I195" s="6" t="s">
        <v>1143</v>
      </c>
      <c r="J195" s="6" t="s">
        <v>2063</v>
      </c>
      <c r="K195" s="6" t="s">
        <v>2064</v>
      </c>
      <c r="L195" s="23"/>
      <c r="M195" s="6" t="s">
        <v>33</v>
      </c>
      <c r="N195" s="6"/>
      <c r="O195" s="6"/>
      <c r="P195" s="24"/>
      <c r="Q195" s="6"/>
      <c r="R195" s="6"/>
      <c r="S195" s="6"/>
    </row>
    <row r="196" spans="1:19" x14ac:dyDescent="0.25">
      <c r="A196" s="22" t="s">
        <v>2065</v>
      </c>
      <c r="B196" s="6" t="s">
        <v>2057</v>
      </c>
      <c r="C196" s="6" t="s">
        <v>2066</v>
      </c>
      <c r="D196" s="6" t="s">
        <v>103</v>
      </c>
      <c r="E196" s="6" t="s">
        <v>104</v>
      </c>
      <c r="F196" s="6" t="s">
        <v>105</v>
      </c>
      <c r="G196" s="6" t="s">
        <v>80</v>
      </c>
      <c r="H196" s="6"/>
      <c r="I196" s="6" t="s">
        <v>1994</v>
      </c>
      <c r="J196" s="6" t="s">
        <v>2067</v>
      </c>
      <c r="K196" s="6" t="s">
        <v>2068</v>
      </c>
      <c r="L196" s="23"/>
      <c r="M196" s="6" t="s">
        <v>33</v>
      </c>
      <c r="N196" s="6"/>
      <c r="O196" s="6"/>
      <c r="P196" s="24"/>
      <c r="Q196" s="6"/>
      <c r="R196" s="6"/>
      <c r="S196" s="6"/>
    </row>
    <row r="197" spans="1:19" x14ac:dyDescent="0.25">
      <c r="A197" s="22" t="s">
        <v>2069</v>
      </c>
      <c r="B197" s="6" t="s">
        <v>2057</v>
      </c>
      <c r="C197" s="6" t="s">
        <v>2070</v>
      </c>
      <c r="D197" s="6" t="s">
        <v>209</v>
      </c>
      <c r="E197" s="6" t="s">
        <v>104</v>
      </c>
      <c r="F197" s="6" t="s">
        <v>105</v>
      </c>
      <c r="G197" s="6" t="s">
        <v>80</v>
      </c>
      <c r="H197" s="6"/>
      <c r="I197" s="6" t="s">
        <v>1143</v>
      </c>
      <c r="J197" s="6" t="s">
        <v>2071</v>
      </c>
      <c r="K197" s="6" t="s">
        <v>2072</v>
      </c>
      <c r="L197" s="23"/>
      <c r="M197" s="6" t="s">
        <v>33</v>
      </c>
      <c r="N197" s="6"/>
      <c r="O197" s="6"/>
      <c r="P197" s="24"/>
      <c r="Q197" s="6"/>
      <c r="R197" s="6"/>
      <c r="S197" s="6"/>
    </row>
    <row r="198" spans="1:19" x14ac:dyDescent="0.25">
      <c r="A198" s="22" t="s">
        <v>2073</v>
      </c>
      <c r="B198" s="6" t="s">
        <v>2057</v>
      </c>
      <c r="C198" s="6" t="s">
        <v>2074</v>
      </c>
      <c r="D198" s="6" t="s">
        <v>209</v>
      </c>
      <c r="E198" s="6" t="s">
        <v>104</v>
      </c>
      <c r="F198" s="6" t="s">
        <v>121</v>
      </c>
      <c r="G198" s="6" t="s">
        <v>80</v>
      </c>
      <c r="H198" s="6"/>
      <c r="I198" s="6" t="s">
        <v>2075</v>
      </c>
      <c r="J198" s="6" t="s">
        <v>2076</v>
      </c>
      <c r="K198" s="6" t="s">
        <v>2077</v>
      </c>
      <c r="L198" s="23" t="s">
        <v>2078</v>
      </c>
      <c r="M198" s="6" t="s">
        <v>33</v>
      </c>
      <c r="N198" s="6"/>
      <c r="O198" s="6"/>
      <c r="P198" s="24"/>
      <c r="Q198" s="6"/>
      <c r="R198" s="6"/>
      <c r="S198" s="6"/>
    </row>
    <row r="199" spans="1:19" x14ac:dyDescent="0.25">
      <c r="A199" s="22" t="s">
        <v>2079</v>
      </c>
      <c r="B199" s="6" t="s">
        <v>2057</v>
      </c>
      <c r="C199" s="6" t="s">
        <v>2080</v>
      </c>
      <c r="D199" s="6" t="s">
        <v>103</v>
      </c>
      <c r="E199" s="6" t="s">
        <v>145</v>
      </c>
      <c r="F199" s="6" t="s">
        <v>121</v>
      </c>
      <c r="G199" s="6" t="s">
        <v>80</v>
      </c>
      <c r="H199" s="6"/>
      <c r="I199" s="6" t="s">
        <v>2081</v>
      </c>
      <c r="J199" s="6" t="s">
        <v>2082</v>
      </c>
      <c r="K199" s="6" t="s">
        <v>2083</v>
      </c>
      <c r="L199" s="23"/>
      <c r="M199" s="6" t="s">
        <v>33</v>
      </c>
      <c r="N199" s="6"/>
      <c r="O199" s="6"/>
      <c r="P199" s="24"/>
      <c r="Q199" s="6"/>
      <c r="R199" s="6"/>
      <c r="S199" s="6"/>
    </row>
    <row r="200" spans="1:19" x14ac:dyDescent="0.25">
      <c r="A200" s="22" t="s">
        <v>2084</v>
      </c>
      <c r="B200" s="6" t="s">
        <v>2057</v>
      </c>
      <c r="C200" s="6" t="s">
        <v>2085</v>
      </c>
      <c r="D200" s="6" t="s">
        <v>103</v>
      </c>
      <c r="E200" s="6" t="s">
        <v>113</v>
      </c>
      <c r="F200" s="6" t="s">
        <v>105</v>
      </c>
      <c r="G200" s="6" t="s">
        <v>80</v>
      </c>
      <c r="H200" s="6"/>
      <c r="I200" s="6" t="s">
        <v>2086</v>
      </c>
      <c r="J200" s="6" t="s">
        <v>2087</v>
      </c>
      <c r="K200" s="6" t="s">
        <v>2088</v>
      </c>
      <c r="L200" s="23"/>
      <c r="M200" s="6" t="s">
        <v>33</v>
      </c>
      <c r="N200" s="6"/>
      <c r="O200" s="6"/>
      <c r="P200" s="24"/>
      <c r="Q200" s="6"/>
      <c r="R200" s="6"/>
      <c r="S200" s="6"/>
    </row>
    <row r="201" spans="1:19" x14ac:dyDescent="0.25">
      <c r="A201" s="22" t="s">
        <v>2089</v>
      </c>
      <c r="B201" s="6" t="s">
        <v>2057</v>
      </c>
      <c r="C201" s="6" t="s">
        <v>2090</v>
      </c>
      <c r="D201" s="6" t="s">
        <v>103</v>
      </c>
      <c r="E201" s="6" t="s">
        <v>113</v>
      </c>
      <c r="F201" s="6" t="s">
        <v>105</v>
      </c>
      <c r="G201" s="6" t="s">
        <v>80</v>
      </c>
      <c r="H201" s="6"/>
      <c r="I201" s="6" t="s">
        <v>2091</v>
      </c>
      <c r="J201" s="6" t="s">
        <v>2092</v>
      </c>
      <c r="K201" s="6" t="s">
        <v>2093</v>
      </c>
      <c r="L201" s="23"/>
      <c r="M201" s="6" t="s">
        <v>33</v>
      </c>
      <c r="N201" s="6"/>
      <c r="O201" s="6"/>
      <c r="P201" s="24"/>
      <c r="Q201" s="6"/>
      <c r="R201" s="6"/>
      <c r="S201" s="6"/>
    </row>
    <row r="202" spans="1:19" x14ac:dyDescent="0.25">
      <c r="A202" s="22" t="s">
        <v>2094</v>
      </c>
      <c r="B202" s="6" t="s">
        <v>2057</v>
      </c>
      <c r="C202" s="6" t="s">
        <v>2095</v>
      </c>
      <c r="D202" s="6" t="s">
        <v>103</v>
      </c>
      <c r="E202" s="6" t="s">
        <v>113</v>
      </c>
      <c r="F202" s="6" t="s">
        <v>105</v>
      </c>
      <c r="G202" s="6" t="s">
        <v>80</v>
      </c>
      <c r="H202" s="6"/>
      <c r="I202" s="6" t="s">
        <v>2096</v>
      </c>
      <c r="J202" s="6" t="s">
        <v>2097</v>
      </c>
      <c r="K202" s="6" t="s">
        <v>2098</v>
      </c>
      <c r="L202" s="23"/>
      <c r="M202" s="6" t="s">
        <v>33</v>
      </c>
      <c r="N202" s="6"/>
      <c r="O202" s="6"/>
      <c r="P202" s="24"/>
      <c r="Q202" s="6"/>
      <c r="R202" s="6"/>
      <c r="S202" s="6"/>
    </row>
    <row r="203" spans="1:19" x14ac:dyDescent="0.25">
      <c r="A203" s="22" t="s">
        <v>2099</v>
      </c>
      <c r="B203" s="6" t="s">
        <v>2057</v>
      </c>
      <c r="C203" s="6" t="s">
        <v>2100</v>
      </c>
      <c r="D203" s="6" t="s">
        <v>140</v>
      </c>
      <c r="E203" s="6" t="s">
        <v>113</v>
      </c>
      <c r="F203" s="6" t="s">
        <v>105</v>
      </c>
      <c r="G203" s="6" t="s">
        <v>80</v>
      </c>
      <c r="H203" s="6"/>
      <c r="I203" s="6" t="s">
        <v>2101</v>
      </c>
      <c r="J203" s="6" t="s">
        <v>2102</v>
      </c>
      <c r="K203" s="6" t="s">
        <v>2103</v>
      </c>
      <c r="L203" s="23"/>
      <c r="M203" s="6" t="s">
        <v>33</v>
      </c>
      <c r="N203" s="6"/>
      <c r="O203" s="6"/>
      <c r="P203" s="24"/>
      <c r="Q203" s="6"/>
      <c r="R203" s="6"/>
      <c r="S203" s="6"/>
    </row>
    <row r="204" spans="1:19" x14ac:dyDescent="0.25">
      <c r="A204" s="22" t="s">
        <v>2104</v>
      </c>
      <c r="B204" s="6" t="s">
        <v>2057</v>
      </c>
      <c r="C204" s="6" t="s">
        <v>2105</v>
      </c>
      <c r="D204" s="6" t="s">
        <v>103</v>
      </c>
      <c r="E204" s="6" t="s">
        <v>104</v>
      </c>
      <c r="F204" s="6" t="s">
        <v>105</v>
      </c>
      <c r="G204" s="6" t="s">
        <v>80</v>
      </c>
      <c r="H204" s="6"/>
      <c r="I204" s="6" t="s">
        <v>2106</v>
      </c>
      <c r="J204" s="6" t="s">
        <v>2107</v>
      </c>
      <c r="K204" s="6" t="s">
        <v>2108</v>
      </c>
      <c r="L204" s="23"/>
      <c r="M204" s="6" t="s">
        <v>33</v>
      </c>
      <c r="N204" s="6"/>
      <c r="O204" s="6"/>
      <c r="P204" s="24"/>
      <c r="Q204" s="6"/>
      <c r="R204" s="6"/>
      <c r="S204" s="6"/>
    </row>
    <row r="205" spans="1:19" x14ac:dyDescent="0.25">
      <c r="A205" s="22" t="s">
        <v>2109</v>
      </c>
      <c r="B205" s="6" t="s">
        <v>2110</v>
      </c>
      <c r="C205" s="6" t="s">
        <v>2111</v>
      </c>
      <c r="D205" s="6" t="s">
        <v>103</v>
      </c>
      <c r="E205" s="6" t="s">
        <v>113</v>
      </c>
      <c r="F205" s="6" t="s">
        <v>105</v>
      </c>
      <c r="G205" s="6" t="s">
        <v>80</v>
      </c>
      <c r="H205" s="6"/>
      <c r="I205" s="6" t="s">
        <v>1143</v>
      </c>
      <c r="J205" s="6" t="s">
        <v>2112</v>
      </c>
      <c r="K205" s="6" t="s">
        <v>2113</v>
      </c>
      <c r="L205" s="23"/>
      <c r="M205" s="6" t="s">
        <v>33</v>
      </c>
      <c r="N205" s="6"/>
      <c r="O205" s="6"/>
      <c r="P205" s="24"/>
      <c r="Q205" s="6"/>
      <c r="R205" s="6"/>
      <c r="S205" s="6"/>
    </row>
    <row r="206" spans="1:19" x14ac:dyDescent="0.25">
      <c r="A206" s="22" t="s">
        <v>2114</v>
      </c>
      <c r="B206" s="6" t="s">
        <v>2115</v>
      </c>
      <c r="C206" s="6" t="s">
        <v>2116</v>
      </c>
      <c r="D206" s="6" t="s">
        <v>103</v>
      </c>
      <c r="E206" s="6" t="s">
        <v>104</v>
      </c>
      <c r="F206" s="6" t="s">
        <v>121</v>
      </c>
      <c r="G206" s="6" t="s">
        <v>80</v>
      </c>
      <c r="H206" s="6"/>
      <c r="I206" s="6" t="s">
        <v>2117</v>
      </c>
      <c r="J206" s="6" t="s">
        <v>2118</v>
      </c>
      <c r="K206" s="6" t="s">
        <v>2119</v>
      </c>
      <c r="L206" s="23"/>
      <c r="M206" s="6" t="s">
        <v>33</v>
      </c>
      <c r="N206" s="6"/>
      <c r="O206" s="6"/>
      <c r="P206" s="24"/>
      <c r="Q206" s="6"/>
      <c r="R206" s="6"/>
      <c r="S206" s="6"/>
    </row>
    <row r="207" spans="1:19" x14ac:dyDescent="0.25">
      <c r="A207" s="22" t="s">
        <v>2120</v>
      </c>
      <c r="B207" s="6" t="s">
        <v>2115</v>
      </c>
      <c r="C207" s="6" t="s">
        <v>2121</v>
      </c>
      <c r="D207" s="6" t="s">
        <v>103</v>
      </c>
      <c r="E207" s="6" t="s">
        <v>104</v>
      </c>
      <c r="F207" s="6" t="s">
        <v>105</v>
      </c>
      <c r="G207" s="6" t="s">
        <v>80</v>
      </c>
      <c r="H207" s="6"/>
      <c r="I207" s="6" t="s">
        <v>2122</v>
      </c>
      <c r="J207" s="6" t="s">
        <v>2123</v>
      </c>
      <c r="K207" s="6" t="s">
        <v>2124</v>
      </c>
      <c r="L207" s="23"/>
      <c r="M207" s="6" t="s">
        <v>33</v>
      </c>
      <c r="N207" s="6"/>
      <c r="O207" s="6"/>
      <c r="P207" s="24"/>
      <c r="Q207" s="6"/>
      <c r="R207" s="6"/>
      <c r="S207" s="6"/>
    </row>
    <row r="208" spans="1:19" x14ac:dyDescent="0.25">
      <c r="A208" s="22" t="s">
        <v>2125</v>
      </c>
      <c r="B208" s="6" t="s">
        <v>2115</v>
      </c>
      <c r="C208" s="6" t="s">
        <v>2126</v>
      </c>
      <c r="D208" s="6" t="s">
        <v>209</v>
      </c>
      <c r="E208" s="6" t="s">
        <v>113</v>
      </c>
      <c r="F208" s="6" t="s">
        <v>105</v>
      </c>
      <c r="G208" s="6" t="s">
        <v>80</v>
      </c>
      <c r="H208" s="6"/>
      <c r="I208" s="6" t="s">
        <v>2127</v>
      </c>
      <c r="J208" s="6" t="s">
        <v>2128</v>
      </c>
      <c r="K208" s="6" t="s">
        <v>2129</v>
      </c>
      <c r="L208" s="23"/>
      <c r="M208" s="6" t="s">
        <v>33</v>
      </c>
      <c r="N208" s="6"/>
      <c r="O208" s="6"/>
      <c r="P208" s="24"/>
      <c r="Q208" s="6"/>
      <c r="R208" s="6"/>
      <c r="S208" s="6"/>
    </row>
    <row r="209" spans="1:19" x14ac:dyDescent="0.25">
      <c r="A209" s="22" t="s">
        <v>2130</v>
      </c>
      <c r="B209" s="6" t="s">
        <v>2131</v>
      </c>
      <c r="C209" s="6" t="s">
        <v>2132</v>
      </c>
      <c r="D209" s="6" t="s">
        <v>103</v>
      </c>
      <c r="E209" s="6" t="s">
        <v>104</v>
      </c>
      <c r="F209" s="6" t="s">
        <v>105</v>
      </c>
      <c r="G209" s="6" t="s">
        <v>80</v>
      </c>
      <c r="H209" s="6"/>
      <c r="I209" s="6" t="s">
        <v>2133</v>
      </c>
      <c r="J209" s="6" t="s">
        <v>2134</v>
      </c>
      <c r="K209" s="6" t="s">
        <v>2135</v>
      </c>
      <c r="L209" s="23"/>
      <c r="M209" s="6" t="s">
        <v>33</v>
      </c>
      <c r="N209" s="6"/>
      <c r="O209" s="6"/>
      <c r="P209" s="24"/>
      <c r="Q209" s="6"/>
      <c r="R209" s="6"/>
      <c r="S209" s="6"/>
    </row>
    <row r="210" spans="1:19" x14ac:dyDescent="0.25">
      <c r="A210" s="22" t="s">
        <v>2136</v>
      </c>
      <c r="B210" s="6" t="s">
        <v>2131</v>
      </c>
      <c r="C210" s="6" t="s">
        <v>2137</v>
      </c>
      <c r="D210" s="6" t="s">
        <v>209</v>
      </c>
      <c r="E210" s="6" t="s">
        <v>104</v>
      </c>
      <c r="F210" s="6" t="s">
        <v>105</v>
      </c>
      <c r="G210" s="6" t="s">
        <v>80</v>
      </c>
      <c r="H210" s="6"/>
      <c r="I210" s="6" t="s">
        <v>2138</v>
      </c>
      <c r="J210" s="6" t="s">
        <v>2139</v>
      </c>
      <c r="K210" s="6" t="s">
        <v>2140</v>
      </c>
      <c r="L210" s="23"/>
      <c r="M210" s="6" t="s">
        <v>33</v>
      </c>
      <c r="N210" s="6"/>
      <c r="O210" s="6"/>
      <c r="P210" s="24"/>
      <c r="Q210" s="6"/>
      <c r="R210" s="6"/>
      <c r="S210" s="6"/>
    </row>
    <row r="211" spans="1:19" x14ac:dyDescent="0.25">
      <c r="A211" s="22" t="s">
        <v>2141</v>
      </c>
      <c r="B211" s="6" t="s">
        <v>2131</v>
      </c>
      <c r="C211" s="6" t="s">
        <v>2142</v>
      </c>
      <c r="D211" s="6" t="s">
        <v>140</v>
      </c>
      <c r="E211" s="6" t="s">
        <v>104</v>
      </c>
      <c r="F211" s="6" t="s">
        <v>105</v>
      </c>
      <c r="G211" s="6" t="s">
        <v>80</v>
      </c>
      <c r="H211" s="6"/>
      <c r="I211" s="6" t="s">
        <v>2143</v>
      </c>
      <c r="J211" s="6" t="s">
        <v>2144</v>
      </c>
      <c r="K211" s="6" t="s">
        <v>2145</v>
      </c>
      <c r="L211" s="23"/>
      <c r="M211" s="6" t="s">
        <v>33</v>
      </c>
      <c r="N211" s="6"/>
      <c r="O211" s="6"/>
      <c r="P211" s="24"/>
      <c r="Q211" s="6"/>
      <c r="R211" s="6"/>
      <c r="S211" s="6"/>
    </row>
    <row r="212" spans="1:19" x14ac:dyDescent="0.25">
      <c r="A212" s="22" t="s">
        <v>2146</v>
      </c>
      <c r="B212" s="6" t="s">
        <v>2147</v>
      </c>
      <c r="C212" s="6" t="s">
        <v>2148</v>
      </c>
      <c r="D212" s="6" t="s">
        <v>103</v>
      </c>
      <c r="E212" s="6" t="s">
        <v>104</v>
      </c>
      <c r="F212" s="6" t="s">
        <v>105</v>
      </c>
      <c r="G212" s="6" t="s">
        <v>80</v>
      </c>
      <c r="H212" s="6"/>
      <c r="I212" s="6" t="s">
        <v>2149</v>
      </c>
      <c r="J212" s="6" t="s">
        <v>2150</v>
      </c>
      <c r="K212" s="6" t="s">
        <v>2151</v>
      </c>
      <c r="L212" s="23"/>
      <c r="M212" s="6" t="s">
        <v>33</v>
      </c>
      <c r="N212" s="6"/>
      <c r="O212" s="6"/>
      <c r="P212" s="24"/>
      <c r="Q212" s="6"/>
      <c r="R212" s="6"/>
      <c r="S212" s="6"/>
    </row>
    <row r="213" spans="1:19" x14ac:dyDescent="0.25">
      <c r="A213" s="22" t="s">
        <v>2152</v>
      </c>
      <c r="B213" s="6" t="s">
        <v>2147</v>
      </c>
      <c r="C213" s="6" t="s">
        <v>2153</v>
      </c>
      <c r="D213" s="6" t="s">
        <v>209</v>
      </c>
      <c r="E213" s="6" t="s">
        <v>104</v>
      </c>
      <c r="F213" s="6" t="s">
        <v>105</v>
      </c>
      <c r="G213" s="6" t="s">
        <v>80</v>
      </c>
      <c r="H213" s="6"/>
      <c r="I213" s="6" t="s">
        <v>2154</v>
      </c>
      <c r="J213" s="6" t="s">
        <v>2155</v>
      </c>
      <c r="K213" s="6" t="s">
        <v>2156</v>
      </c>
      <c r="L213" s="23"/>
      <c r="M213" s="6" t="s">
        <v>33</v>
      </c>
      <c r="N213" s="6"/>
      <c r="O213" s="6"/>
      <c r="P213" s="24"/>
      <c r="Q213" s="6"/>
      <c r="R213" s="6"/>
      <c r="S213" s="6"/>
    </row>
    <row r="214" spans="1:19" x14ac:dyDescent="0.25">
      <c r="A214" s="22" t="s">
        <v>2157</v>
      </c>
      <c r="B214" s="6" t="s">
        <v>2147</v>
      </c>
      <c r="C214" s="6" t="s">
        <v>2158</v>
      </c>
      <c r="D214" s="6" t="s">
        <v>103</v>
      </c>
      <c r="E214" s="6" t="s">
        <v>113</v>
      </c>
      <c r="F214" s="6" t="s">
        <v>121</v>
      </c>
      <c r="G214" s="6" t="s">
        <v>80</v>
      </c>
      <c r="H214" s="6"/>
      <c r="I214" s="6" t="s">
        <v>2159</v>
      </c>
      <c r="J214" s="6" t="s">
        <v>2160</v>
      </c>
      <c r="K214" s="6" t="s">
        <v>2161</v>
      </c>
      <c r="L214" s="23"/>
      <c r="M214" s="6" t="s">
        <v>33</v>
      </c>
      <c r="N214" s="6"/>
      <c r="O214" s="6"/>
      <c r="P214" s="24"/>
      <c r="Q214" s="6"/>
      <c r="R214" s="6"/>
      <c r="S214" s="6"/>
    </row>
    <row r="215" spans="1:19" x14ac:dyDescent="0.25">
      <c r="A215" s="22" t="s">
        <v>2162</v>
      </c>
      <c r="B215" s="6" t="s">
        <v>2163</v>
      </c>
      <c r="C215" s="6" t="s">
        <v>2164</v>
      </c>
      <c r="D215" s="6" t="s">
        <v>103</v>
      </c>
      <c r="E215" s="6" t="s">
        <v>104</v>
      </c>
      <c r="F215" s="6" t="s">
        <v>121</v>
      </c>
      <c r="G215" s="6" t="s">
        <v>80</v>
      </c>
      <c r="H215" s="6"/>
      <c r="I215" s="6" t="s">
        <v>2165</v>
      </c>
      <c r="J215" s="6" t="s">
        <v>2166</v>
      </c>
      <c r="K215" s="6" t="s">
        <v>2167</v>
      </c>
      <c r="L215" s="23"/>
      <c r="M215" s="6" t="s">
        <v>33</v>
      </c>
      <c r="N215" s="6"/>
      <c r="O215" s="6"/>
      <c r="P215" s="24"/>
      <c r="Q215" s="6"/>
      <c r="R215" s="6"/>
      <c r="S215" s="6"/>
    </row>
    <row r="216" spans="1:19" x14ac:dyDescent="0.25">
      <c r="A216" s="22" t="s">
        <v>2168</v>
      </c>
      <c r="B216" s="6" t="s">
        <v>2163</v>
      </c>
      <c r="C216" s="6" t="s">
        <v>2169</v>
      </c>
      <c r="D216" s="6" t="s">
        <v>103</v>
      </c>
      <c r="E216" s="6" t="s">
        <v>113</v>
      </c>
      <c r="F216" s="6" t="s">
        <v>121</v>
      </c>
      <c r="G216" s="6" t="s">
        <v>80</v>
      </c>
      <c r="H216" s="6"/>
      <c r="I216" s="6" t="s">
        <v>1143</v>
      </c>
      <c r="J216" s="6" t="s">
        <v>2170</v>
      </c>
      <c r="K216" s="6" t="s">
        <v>2171</v>
      </c>
      <c r="L216" s="23"/>
      <c r="M216" s="6" t="s">
        <v>33</v>
      </c>
      <c r="N216" s="6"/>
      <c r="O216" s="6"/>
      <c r="P216" s="24"/>
      <c r="Q216" s="6"/>
      <c r="R216" s="6"/>
      <c r="S216" s="6"/>
    </row>
    <row r="217" spans="1:19" x14ac:dyDescent="0.25">
      <c r="A217" s="22" t="s">
        <v>2172</v>
      </c>
      <c r="B217" s="6" t="s">
        <v>2163</v>
      </c>
      <c r="C217" s="6" t="s">
        <v>2173</v>
      </c>
      <c r="D217" s="6" t="s">
        <v>140</v>
      </c>
      <c r="E217" s="6" t="s">
        <v>113</v>
      </c>
      <c r="F217" s="6" t="s">
        <v>105</v>
      </c>
      <c r="G217" s="6" t="s">
        <v>80</v>
      </c>
      <c r="H217" s="6"/>
      <c r="I217" s="6" t="s">
        <v>1330</v>
      </c>
      <c r="J217" s="6" t="s">
        <v>2174</v>
      </c>
      <c r="K217" s="6" t="s">
        <v>2175</v>
      </c>
      <c r="L217" s="23"/>
      <c r="M217" s="6" t="s">
        <v>33</v>
      </c>
      <c r="N217" s="6"/>
      <c r="O217" s="6"/>
      <c r="P217" s="24"/>
      <c r="Q217" s="6"/>
      <c r="R217" s="6"/>
      <c r="S217" s="6"/>
    </row>
    <row r="218" spans="1:19" x14ac:dyDescent="0.25">
      <c r="A218" s="22" t="s">
        <v>2176</v>
      </c>
      <c r="B218" s="6" t="s">
        <v>2177</v>
      </c>
      <c r="C218" s="6" t="s">
        <v>2178</v>
      </c>
      <c r="D218" s="6" t="s">
        <v>103</v>
      </c>
      <c r="E218" s="6" t="s">
        <v>113</v>
      </c>
      <c r="F218" s="6" t="s">
        <v>105</v>
      </c>
      <c r="G218" s="6" t="s">
        <v>80</v>
      </c>
      <c r="H218" s="6"/>
      <c r="I218" s="6" t="s">
        <v>2179</v>
      </c>
      <c r="J218" s="6" t="s">
        <v>2180</v>
      </c>
      <c r="K218" s="6" t="s">
        <v>2181</v>
      </c>
      <c r="L218" s="23"/>
      <c r="M218" s="6" t="s">
        <v>33</v>
      </c>
      <c r="N218" s="6"/>
      <c r="O218" s="6"/>
      <c r="P218" s="24"/>
      <c r="Q218" s="6"/>
      <c r="R218" s="6"/>
      <c r="S218" s="6"/>
    </row>
    <row r="219" spans="1:19" x14ac:dyDescent="0.25">
      <c r="A219" s="22" t="s">
        <v>2182</v>
      </c>
      <c r="B219" s="6" t="s">
        <v>653</v>
      </c>
      <c r="C219" s="6" t="s">
        <v>2183</v>
      </c>
      <c r="D219" s="6" t="s">
        <v>103</v>
      </c>
      <c r="E219" s="6" t="s">
        <v>113</v>
      </c>
      <c r="F219" s="6" t="s">
        <v>105</v>
      </c>
      <c r="G219" s="6" t="s">
        <v>80</v>
      </c>
      <c r="H219" s="6"/>
      <c r="I219" s="6" t="s">
        <v>1143</v>
      </c>
      <c r="J219" s="6" t="s">
        <v>2184</v>
      </c>
      <c r="K219" s="6" t="s">
        <v>2185</v>
      </c>
      <c r="L219" s="23"/>
      <c r="M219" s="6" t="s">
        <v>33</v>
      </c>
      <c r="N219" s="6"/>
      <c r="O219" s="6"/>
      <c r="P219" s="24"/>
      <c r="Q219" s="6"/>
      <c r="R219" s="6"/>
      <c r="S219" s="6"/>
    </row>
    <row r="220" spans="1:19" x14ac:dyDescent="0.25">
      <c r="A220" s="22" t="s">
        <v>2186</v>
      </c>
      <c r="B220" s="6" t="s">
        <v>653</v>
      </c>
      <c r="C220" s="6" t="s">
        <v>2187</v>
      </c>
      <c r="D220" s="6" t="s">
        <v>103</v>
      </c>
      <c r="E220" s="6" t="s">
        <v>113</v>
      </c>
      <c r="F220" s="6" t="s">
        <v>105</v>
      </c>
      <c r="G220" s="6" t="s">
        <v>80</v>
      </c>
      <c r="H220" s="6"/>
      <c r="I220" s="6" t="s">
        <v>2188</v>
      </c>
      <c r="J220" s="6" t="s">
        <v>2189</v>
      </c>
      <c r="K220" s="6" t="s">
        <v>2190</v>
      </c>
      <c r="L220" s="23"/>
      <c r="M220" s="6" t="s">
        <v>33</v>
      </c>
      <c r="N220" s="6"/>
      <c r="O220" s="6"/>
      <c r="P220" s="24"/>
      <c r="Q220" s="6"/>
      <c r="R220" s="6"/>
      <c r="S220" s="6"/>
    </row>
    <row r="221" spans="1:19" x14ac:dyDescent="0.25">
      <c r="A221" s="22" t="s">
        <v>2191</v>
      </c>
      <c r="B221" s="6" t="s">
        <v>653</v>
      </c>
      <c r="C221" s="6" t="s">
        <v>2192</v>
      </c>
      <c r="D221" s="6" t="s">
        <v>209</v>
      </c>
      <c r="E221" s="6" t="s">
        <v>113</v>
      </c>
      <c r="F221" s="6" t="s">
        <v>105</v>
      </c>
      <c r="G221" s="6" t="s">
        <v>80</v>
      </c>
      <c r="H221" s="6"/>
      <c r="I221" s="6" t="s">
        <v>1143</v>
      </c>
      <c r="J221" s="6" t="s">
        <v>2193</v>
      </c>
      <c r="K221" s="6" t="s">
        <v>2194</v>
      </c>
      <c r="L221" s="23"/>
      <c r="M221" s="6" t="s">
        <v>33</v>
      </c>
      <c r="N221" s="6"/>
      <c r="O221" s="6"/>
      <c r="P221" s="24"/>
      <c r="Q221" s="6"/>
      <c r="R221" s="6"/>
      <c r="S221" s="6"/>
    </row>
    <row r="222" spans="1:19" x14ac:dyDescent="0.25">
      <c r="A222" s="22" t="s">
        <v>2195</v>
      </c>
      <c r="B222" s="6" t="s">
        <v>653</v>
      </c>
      <c r="C222" s="6" t="s">
        <v>2196</v>
      </c>
      <c r="D222" s="6" t="s">
        <v>103</v>
      </c>
      <c r="E222" s="6" t="s">
        <v>104</v>
      </c>
      <c r="F222" s="6" t="s">
        <v>105</v>
      </c>
      <c r="G222" s="6" t="s">
        <v>80</v>
      </c>
      <c r="H222" s="6"/>
      <c r="I222" s="6" t="s">
        <v>2197</v>
      </c>
      <c r="J222" s="6" t="s">
        <v>2198</v>
      </c>
      <c r="K222" s="6" t="s">
        <v>2199</v>
      </c>
      <c r="L222" s="23"/>
      <c r="M222" s="6" t="s">
        <v>33</v>
      </c>
      <c r="N222" s="6"/>
      <c r="O222" s="6"/>
      <c r="P222" s="24"/>
      <c r="Q222" s="6"/>
      <c r="R222" s="6"/>
      <c r="S222" s="6"/>
    </row>
    <row r="223" spans="1:19" x14ac:dyDescent="0.25">
      <c r="A223" s="22" t="s">
        <v>2200</v>
      </c>
      <c r="B223" s="6" t="s">
        <v>653</v>
      </c>
      <c r="C223" s="6" t="s">
        <v>2201</v>
      </c>
      <c r="D223" s="6" t="s">
        <v>209</v>
      </c>
      <c r="E223" s="6" t="s">
        <v>104</v>
      </c>
      <c r="F223" s="6" t="s">
        <v>105</v>
      </c>
      <c r="G223" s="6" t="s">
        <v>80</v>
      </c>
      <c r="H223" s="6"/>
      <c r="I223" s="6" t="s">
        <v>2202</v>
      </c>
      <c r="J223" s="6" t="s">
        <v>2203</v>
      </c>
      <c r="K223" s="6" t="s">
        <v>2204</v>
      </c>
      <c r="L223" s="23"/>
      <c r="M223" s="6" t="s">
        <v>33</v>
      </c>
      <c r="N223" s="6"/>
      <c r="O223" s="6"/>
      <c r="P223" s="24"/>
      <c r="Q223" s="6"/>
      <c r="R223" s="6"/>
      <c r="S223" s="6"/>
    </row>
    <row r="224" spans="1:19" x14ac:dyDescent="0.25">
      <c r="A224" s="22" t="s">
        <v>2205</v>
      </c>
      <c r="B224" s="6" t="s">
        <v>2206</v>
      </c>
      <c r="C224" s="6" t="s">
        <v>2207</v>
      </c>
      <c r="D224" s="6" t="s">
        <v>103</v>
      </c>
      <c r="E224" s="6" t="s">
        <v>104</v>
      </c>
      <c r="F224" s="6" t="s">
        <v>105</v>
      </c>
      <c r="G224" s="6" t="s">
        <v>80</v>
      </c>
      <c r="H224" s="6"/>
      <c r="I224" s="6" t="s">
        <v>2208</v>
      </c>
      <c r="J224" s="6" t="s">
        <v>2209</v>
      </c>
      <c r="K224" s="6" t="s">
        <v>2210</v>
      </c>
      <c r="L224" s="23"/>
      <c r="M224" s="6" t="s">
        <v>33</v>
      </c>
      <c r="N224" s="6"/>
      <c r="O224" s="6"/>
      <c r="P224" s="24"/>
      <c r="Q224" s="6"/>
      <c r="R224" s="6"/>
      <c r="S224" s="6"/>
    </row>
    <row r="225" spans="1:19" x14ac:dyDescent="0.25">
      <c r="A225" s="22" t="s">
        <v>2211</v>
      </c>
      <c r="B225" s="6" t="s">
        <v>663</v>
      </c>
      <c r="C225" s="6" t="s">
        <v>2212</v>
      </c>
      <c r="D225" s="6" t="s">
        <v>103</v>
      </c>
      <c r="E225" s="6" t="s">
        <v>145</v>
      </c>
      <c r="F225" s="6" t="s">
        <v>105</v>
      </c>
      <c r="G225" s="6" t="s">
        <v>80</v>
      </c>
      <c r="H225" s="6"/>
      <c r="I225" s="6" t="s">
        <v>1143</v>
      </c>
      <c r="J225" s="6" t="s">
        <v>2213</v>
      </c>
      <c r="K225" s="6" t="s">
        <v>2214</v>
      </c>
      <c r="L225" s="23"/>
      <c r="M225" s="6" t="s">
        <v>33</v>
      </c>
      <c r="N225" s="6"/>
      <c r="O225" s="6"/>
      <c r="P225" s="24"/>
      <c r="Q225" s="6"/>
      <c r="R225" s="6"/>
      <c r="S225" s="6"/>
    </row>
    <row r="226" spans="1:19" x14ac:dyDescent="0.25">
      <c r="A226" s="22" t="s">
        <v>2215</v>
      </c>
      <c r="B226" s="6" t="s">
        <v>1413</v>
      </c>
      <c r="C226" s="6" t="s">
        <v>2216</v>
      </c>
      <c r="D226" s="6" t="s">
        <v>103</v>
      </c>
      <c r="E226" s="6" t="s">
        <v>104</v>
      </c>
      <c r="F226" s="6" t="s">
        <v>105</v>
      </c>
      <c r="G226" s="6" t="s">
        <v>80</v>
      </c>
      <c r="H226" s="6"/>
      <c r="I226" s="6" t="s">
        <v>2217</v>
      </c>
      <c r="J226" s="6" t="s">
        <v>2218</v>
      </c>
      <c r="K226" s="6" t="s">
        <v>2219</v>
      </c>
      <c r="L226" s="23"/>
      <c r="M226" s="6" t="s">
        <v>33</v>
      </c>
      <c r="N226" s="6"/>
      <c r="O226" s="6"/>
      <c r="P226" s="24"/>
      <c r="Q226" s="6"/>
      <c r="R226" s="6"/>
      <c r="S226" s="6"/>
    </row>
    <row r="227" spans="1:19" x14ac:dyDescent="0.25">
      <c r="A227" s="22" t="s">
        <v>2220</v>
      </c>
      <c r="B227" s="6" t="s">
        <v>1413</v>
      </c>
      <c r="C227" s="6" t="s">
        <v>2221</v>
      </c>
      <c r="D227" s="6" t="s">
        <v>103</v>
      </c>
      <c r="E227" s="6" t="s">
        <v>104</v>
      </c>
      <c r="F227" s="6" t="s">
        <v>105</v>
      </c>
      <c r="G227" s="6" t="s">
        <v>80</v>
      </c>
      <c r="H227" s="6"/>
      <c r="I227" s="6" t="s">
        <v>2222</v>
      </c>
      <c r="J227" s="6" t="s">
        <v>2223</v>
      </c>
      <c r="K227" s="6" t="s">
        <v>2224</v>
      </c>
      <c r="L227" s="23"/>
      <c r="M227" s="6" t="s">
        <v>33</v>
      </c>
      <c r="N227" s="6"/>
      <c r="O227" s="6"/>
      <c r="P227" s="24"/>
      <c r="Q227" s="6"/>
      <c r="R227" s="6"/>
      <c r="S227" s="6"/>
    </row>
    <row r="228" spans="1:19" x14ac:dyDescent="0.25">
      <c r="A228" s="22" t="s">
        <v>2225</v>
      </c>
      <c r="B228" s="6" t="s">
        <v>1413</v>
      </c>
      <c r="C228" s="6" t="s">
        <v>2226</v>
      </c>
      <c r="D228" s="6" t="s">
        <v>103</v>
      </c>
      <c r="E228" s="6" t="s">
        <v>113</v>
      </c>
      <c r="F228" s="6" t="s">
        <v>121</v>
      </c>
      <c r="G228" s="6" t="s">
        <v>80</v>
      </c>
      <c r="H228" s="6"/>
      <c r="I228" s="6" t="s">
        <v>2227</v>
      </c>
      <c r="J228" s="6" t="s">
        <v>2228</v>
      </c>
      <c r="K228" s="6" t="s">
        <v>2229</v>
      </c>
      <c r="L228" s="23"/>
      <c r="M228" s="6" t="s">
        <v>33</v>
      </c>
      <c r="N228" s="6"/>
      <c r="O228" s="6"/>
      <c r="P228" s="24"/>
      <c r="Q228" s="6"/>
      <c r="R228" s="6"/>
      <c r="S228" s="6"/>
    </row>
    <row r="229" spans="1:19" x14ac:dyDescent="0.25">
      <c r="A229" s="22" t="s">
        <v>2230</v>
      </c>
      <c r="B229" s="6" t="s">
        <v>1413</v>
      </c>
      <c r="C229" s="6" t="s">
        <v>2231</v>
      </c>
      <c r="D229" s="6" t="s">
        <v>112</v>
      </c>
      <c r="E229" s="6" t="s">
        <v>145</v>
      </c>
      <c r="F229" s="6" t="s">
        <v>105</v>
      </c>
      <c r="G229" s="6" t="s">
        <v>80</v>
      </c>
      <c r="H229" s="6"/>
      <c r="I229" s="6" t="s">
        <v>2232</v>
      </c>
      <c r="J229" s="6" t="s">
        <v>2233</v>
      </c>
      <c r="K229" s="6" t="s">
        <v>2234</v>
      </c>
      <c r="L229" s="23"/>
      <c r="M229" s="6" t="s">
        <v>33</v>
      </c>
      <c r="N229" s="6"/>
      <c r="O229" s="6"/>
      <c r="P229" s="24"/>
      <c r="Q229" s="6"/>
      <c r="R229" s="6"/>
      <c r="S229" s="6"/>
    </row>
    <row r="230" spans="1:19" x14ac:dyDescent="0.25">
      <c r="A230" s="22" t="s">
        <v>2235</v>
      </c>
      <c r="B230" s="6" t="s">
        <v>1413</v>
      </c>
      <c r="C230" s="6" t="s">
        <v>2236</v>
      </c>
      <c r="D230" s="6" t="s">
        <v>140</v>
      </c>
      <c r="E230" s="6" t="s">
        <v>113</v>
      </c>
      <c r="F230" s="6" t="s">
        <v>105</v>
      </c>
      <c r="G230" s="6" t="s">
        <v>80</v>
      </c>
      <c r="H230" s="6"/>
      <c r="I230" s="6" t="s">
        <v>2237</v>
      </c>
      <c r="J230" s="6" t="s">
        <v>2238</v>
      </c>
      <c r="K230" s="6" t="s">
        <v>2239</v>
      </c>
      <c r="L230" s="23" t="s">
        <v>2240</v>
      </c>
      <c r="M230" s="6" t="s">
        <v>33</v>
      </c>
      <c r="N230" s="6"/>
      <c r="O230" s="6"/>
      <c r="P230" s="24"/>
      <c r="Q230" s="6"/>
      <c r="R230" s="6"/>
      <c r="S230" s="6"/>
    </row>
    <row r="231" spans="1:19" x14ac:dyDescent="0.25">
      <c r="A231" s="22" t="s">
        <v>2241</v>
      </c>
      <c r="B231" s="6" t="s">
        <v>1852</v>
      </c>
      <c r="C231" s="6" t="s">
        <v>2242</v>
      </c>
      <c r="D231" s="6" t="s">
        <v>103</v>
      </c>
      <c r="E231" s="6" t="s">
        <v>145</v>
      </c>
      <c r="F231" s="6" t="s">
        <v>121</v>
      </c>
      <c r="G231" s="6" t="s">
        <v>80</v>
      </c>
      <c r="H231" s="6"/>
      <c r="I231" s="6" t="s">
        <v>2243</v>
      </c>
      <c r="J231" s="6" t="s">
        <v>2244</v>
      </c>
      <c r="K231" s="6" t="s">
        <v>2245</v>
      </c>
      <c r="L231" s="23"/>
      <c r="M231" s="6" t="s">
        <v>33</v>
      </c>
      <c r="N231" s="6"/>
      <c r="O231" s="6"/>
      <c r="P231" s="24"/>
      <c r="Q231" s="6"/>
      <c r="R231" s="6"/>
      <c r="S231" s="6"/>
    </row>
    <row r="232" spans="1:19" x14ac:dyDescent="0.25">
      <c r="A232" s="22" t="s">
        <v>2246</v>
      </c>
      <c r="B232" s="6" t="s">
        <v>2003</v>
      </c>
      <c r="C232" s="6" t="s">
        <v>2247</v>
      </c>
      <c r="D232" s="6" t="s">
        <v>120</v>
      </c>
      <c r="E232" s="6" t="s">
        <v>113</v>
      </c>
      <c r="F232" s="6" t="s">
        <v>127</v>
      </c>
      <c r="G232" s="6" t="s">
        <v>80</v>
      </c>
      <c r="H232" s="6"/>
      <c r="I232" s="6" t="s">
        <v>1335</v>
      </c>
      <c r="J232" s="6" t="s">
        <v>2248</v>
      </c>
      <c r="K232" s="6" t="s">
        <v>2249</v>
      </c>
      <c r="L232" s="23"/>
      <c r="M232" s="6" t="s">
        <v>33</v>
      </c>
      <c r="N232" s="6"/>
      <c r="O232" s="6"/>
      <c r="P232" s="24"/>
      <c r="Q232" s="6"/>
      <c r="R232" s="6"/>
      <c r="S232" s="6"/>
    </row>
    <row r="233" spans="1:19" x14ac:dyDescent="0.25">
      <c r="A233" s="22" t="s">
        <v>2250</v>
      </c>
      <c r="B233" s="6" t="s">
        <v>1962</v>
      </c>
      <c r="C233" s="6" t="s">
        <v>2251</v>
      </c>
      <c r="D233" s="6" t="s">
        <v>103</v>
      </c>
      <c r="E233" s="6" t="s">
        <v>104</v>
      </c>
      <c r="F233" s="6" t="s">
        <v>121</v>
      </c>
      <c r="G233" s="6" t="s">
        <v>80</v>
      </c>
      <c r="H233" s="6"/>
      <c r="I233" s="6" t="s">
        <v>2252</v>
      </c>
      <c r="J233" s="6" t="s">
        <v>2253</v>
      </c>
      <c r="K233" s="6" t="s">
        <v>2254</v>
      </c>
      <c r="L233" s="23" t="s">
        <v>2255</v>
      </c>
      <c r="M233" s="6" t="s">
        <v>33</v>
      </c>
      <c r="N233" s="6"/>
      <c r="O233" s="6"/>
      <c r="P233" s="24"/>
      <c r="Q233" s="6"/>
      <c r="R233" s="6"/>
      <c r="S233" s="6"/>
    </row>
    <row r="234" spans="1:19" x14ac:dyDescent="0.25">
      <c r="A234" s="22" t="s">
        <v>2256</v>
      </c>
      <c r="B234" s="6" t="s">
        <v>1962</v>
      </c>
      <c r="C234" s="6" t="s">
        <v>2257</v>
      </c>
      <c r="D234" s="6" t="s">
        <v>103</v>
      </c>
      <c r="E234" s="6" t="s">
        <v>113</v>
      </c>
      <c r="F234" s="6" t="s">
        <v>121</v>
      </c>
      <c r="G234" s="6" t="s">
        <v>80</v>
      </c>
      <c r="H234" s="6"/>
      <c r="I234" s="6" t="s">
        <v>2258</v>
      </c>
      <c r="J234" s="6" t="s">
        <v>2259</v>
      </c>
      <c r="K234" s="6" t="s">
        <v>2260</v>
      </c>
      <c r="L234" s="23"/>
      <c r="M234" s="6" t="s">
        <v>33</v>
      </c>
      <c r="N234" s="6"/>
      <c r="O234" s="6"/>
      <c r="P234" s="24"/>
      <c r="Q234" s="6"/>
      <c r="R234" s="6"/>
      <c r="S234" s="6"/>
    </row>
    <row r="235" spans="1:19" x14ac:dyDescent="0.25">
      <c r="A235" s="22" t="s">
        <v>2261</v>
      </c>
      <c r="B235" s="6" t="s">
        <v>653</v>
      </c>
      <c r="C235" s="6" t="s">
        <v>2262</v>
      </c>
      <c r="D235" s="6" t="s">
        <v>103</v>
      </c>
      <c r="E235" s="6" t="s">
        <v>113</v>
      </c>
      <c r="F235" s="6" t="s">
        <v>105</v>
      </c>
      <c r="G235" s="6" t="s">
        <v>80</v>
      </c>
      <c r="H235" s="6" t="s">
        <v>2263</v>
      </c>
      <c r="I235" s="6" t="s">
        <v>2264</v>
      </c>
      <c r="J235" s="6" t="s">
        <v>2265</v>
      </c>
      <c r="K235" s="6" t="s">
        <v>2266</v>
      </c>
      <c r="L235" s="23" t="s">
        <v>2267</v>
      </c>
      <c r="M235" s="6" t="s">
        <v>33</v>
      </c>
      <c r="N235" s="6"/>
      <c r="O235" s="6"/>
      <c r="P235" s="24"/>
      <c r="Q235" s="6"/>
      <c r="R235" s="6"/>
      <c r="S235" s="6"/>
    </row>
    <row r="236" spans="1:19" x14ac:dyDescent="0.25">
      <c r="A236" s="22" t="s">
        <v>2268</v>
      </c>
      <c r="B236" s="6" t="s">
        <v>1666</v>
      </c>
      <c r="C236" s="6" t="s">
        <v>2269</v>
      </c>
      <c r="D236" s="6" t="s">
        <v>103</v>
      </c>
      <c r="E236" s="6" t="s">
        <v>113</v>
      </c>
      <c r="F236" s="6" t="s">
        <v>121</v>
      </c>
      <c r="G236" s="6" t="s">
        <v>80</v>
      </c>
      <c r="H236" s="6" t="s">
        <v>2270</v>
      </c>
      <c r="I236" s="6" t="s">
        <v>2271</v>
      </c>
      <c r="J236" s="6" t="s">
        <v>2272</v>
      </c>
      <c r="K236" s="6" t="s">
        <v>2273</v>
      </c>
      <c r="L236" s="23"/>
      <c r="M236" s="6" t="s">
        <v>33</v>
      </c>
      <c r="N236" s="6"/>
      <c r="O236" s="6"/>
      <c r="P236" s="24"/>
      <c r="Q236" s="6"/>
      <c r="R236" s="6"/>
      <c r="S236" s="6"/>
    </row>
    <row r="237" spans="1:19" x14ac:dyDescent="0.25">
      <c r="A237" s="22" t="s">
        <v>2274</v>
      </c>
      <c r="B237" s="6" t="s">
        <v>1666</v>
      </c>
      <c r="C237" s="6" t="s">
        <v>2275</v>
      </c>
      <c r="D237" s="6" t="s">
        <v>103</v>
      </c>
      <c r="E237" s="6" t="s">
        <v>113</v>
      </c>
      <c r="F237" s="6" t="s">
        <v>121</v>
      </c>
      <c r="G237" s="6" t="s">
        <v>80</v>
      </c>
      <c r="H237" s="6" t="s">
        <v>2276</v>
      </c>
      <c r="I237" s="6" t="s">
        <v>2277</v>
      </c>
      <c r="J237" s="6" t="s">
        <v>2278</v>
      </c>
      <c r="K237" s="6" t="s">
        <v>2279</v>
      </c>
      <c r="L237" s="23"/>
      <c r="M237" s="6" t="s">
        <v>33</v>
      </c>
      <c r="N237" s="6"/>
      <c r="O237" s="6"/>
      <c r="P237" s="24"/>
      <c r="Q237" s="6"/>
      <c r="R237" s="6"/>
      <c r="S237" s="6"/>
    </row>
    <row r="238" spans="1:19" x14ac:dyDescent="0.25">
      <c r="A238" s="22" t="s">
        <v>2280</v>
      </c>
      <c r="B238" s="6" t="s">
        <v>1783</v>
      </c>
      <c r="C238" s="6" t="s">
        <v>2281</v>
      </c>
      <c r="D238" s="6" t="s">
        <v>103</v>
      </c>
      <c r="E238" s="6" t="s">
        <v>104</v>
      </c>
      <c r="F238" s="6" t="s">
        <v>121</v>
      </c>
      <c r="G238" s="6" t="s">
        <v>80</v>
      </c>
      <c r="H238" s="6" t="s">
        <v>2282</v>
      </c>
      <c r="I238" s="6" t="s">
        <v>2283</v>
      </c>
      <c r="J238" s="6" t="s">
        <v>2284</v>
      </c>
      <c r="K238" s="6" t="s">
        <v>2285</v>
      </c>
      <c r="L238" s="23" t="s">
        <v>2286</v>
      </c>
      <c r="M238" s="6" t="s">
        <v>33</v>
      </c>
      <c r="N238" s="6"/>
      <c r="O238" s="6"/>
      <c r="P238" s="24"/>
      <c r="Q238" s="6"/>
      <c r="R238" s="6"/>
      <c r="S238" s="6"/>
    </row>
    <row r="239" spans="1:19" x14ac:dyDescent="0.25">
      <c r="A239" s="22" t="s">
        <v>2287</v>
      </c>
      <c r="B239" s="6" t="s">
        <v>1413</v>
      </c>
      <c r="C239" s="6" t="s">
        <v>2288</v>
      </c>
      <c r="D239" s="6" t="s">
        <v>103</v>
      </c>
      <c r="E239" s="6" t="s">
        <v>113</v>
      </c>
      <c r="F239" s="6" t="s">
        <v>121</v>
      </c>
      <c r="G239" s="6" t="s">
        <v>80</v>
      </c>
      <c r="H239" s="6"/>
      <c r="I239" s="6" t="s">
        <v>2289</v>
      </c>
      <c r="J239" s="6" t="s">
        <v>2290</v>
      </c>
      <c r="K239" s="6" t="s">
        <v>2291</v>
      </c>
      <c r="L239" s="23"/>
      <c r="M239" s="6" t="s">
        <v>33</v>
      </c>
      <c r="N239" s="6"/>
      <c r="O239" s="6"/>
      <c r="P239" s="24"/>
      <c r="Q239" s="6"/>
      <c r="R239" s="6"/>
      <c r="S239" s="6"/>
    </row>
    <row r="240" spans="1:19" x14ac:dyDescent="0.25">
      <c r="A240" s="22" t="s">
        <v>2292</v>
      </c>
      <c r="B240" s="6" t="s">
        <v>1528</v>
      </c>
      <c r="C240" s="6" t="s">
        <v>2293</v>
      </c>
      <c r="D240" s="6" t="s">
        <v>103</v>
      </c>
      <c r="E240" s="6" t="s">
        <v>113</v>
      </c>
      <c r="F240" s="6" t="s">
        <v>121</v>
      </c>
      <c r="G240" s="6" t="s">
        <v>80</v>
      </c>
      <c r="H240" s="6" t="s">
        <v>2294</v>
      </c>
      <c r="I240" s="6" t="s">
        <v>2295</v>
      </c>
      <c r="J240" s="6" t="s">
        <v>2296</v>
      </c>
      <c r="K240" s="6" t="s">
        <v>2297</v>
      </c>
      <c r="L240" s="23"/>
      <c r="M240" s="6" t="s">
        <v>33</v>
      </c>
      <c r="N240" s="6"/>
      <c r="O240" s="6"/>
      <c r="P240" s="24"/>
      <c r="Q240" s="6"/>
      <c r="R240" s="6"/>
      <c r="S240" s="6"/>
    </row>
    <row r="241" spans="1:19" x14ac:dyDescent="0.25">
      <c r="A241" s="22" t="s">
        <v>2298</v>
      </c>
      <c r="B241" s="6" t="s">
        <v>866</v>
      </c>
      <c r="C241" s="6" t="s">
        <v>2299</v>
      </c>
      <c r="D241" s="6" t="s">
        <v>112</v>
      </c>
      <c r="E241" s="6" t="s">
        <v>113</v>
      </c>
      <c r="F241" s="6" t="s">
        <v>105</v>
      </c>
      <c r="G241" s="6" t="s">
        <v>79</v>
      </c>
      <c r="H241" s="6" t="s">
        <v>2300</v>
      </c>
      <c r="I241" s="6" t="s">
        <v>2301</v>
      </c>
      <c r="J241" s="6" t="s">
        <v>2302</v>
      </c>
      <c r="K241" s="6" t="s">
        <v>2303</v>
      </c>
      <c r="L241" s="23" t="s">
        <v>2304</v>
      </c>
      <c r="M241" s="6" t="s">
        <v>33</v>
      </c>
      <c r="N241" s="6"/>
      <c r="O241" s="6"/>
      <c r="P241" s="24"/>
      <c r="Q241" s="6"/>
      <c r="R241" s="6"/>
      <c r="S241" s="6"/>
    </row>
    <row r="242" spans="1:19" x14ac:dyDescent="0.25">
      <c r="A242" s="22" t="s">
        <v>2305</v>
      </c>
      <c r="B242" s="6" t="s">
        <v>1193</v>
      </c>
      <c r="C242" s="6" t="s">
        <v>2306</v>
      </c>
      <c r="D242" s="6" t="s">
        <v>103</v>
      </c>
      <c r="E242" s="6" t="s">
        <v>113</v>
      </c>
      <c r="F242" s="6" t="s">
        <v>121</v>
      </c>
      <c r="G242" s="6" t="s">
        <v>80</v>
      </c>
      <c r="H242" s="6"/>
      <c r="I242" s="6" t="s">
        <v>2307</v>
      </c>
      <c r="J242" s="6" t="s">
        <v>2308</v>
      </c>
      <c r="K242" s="6" t="s">
        <v>2309</v>
      </c>
      <c r="L242" s="23"/>
      <c r="M242" s="6" t="s">
        <v>33</v>
      </c>
      <c r="N242" s="6"/>
      <c r="O242" s="6"/>
      <c r="P242" s="24"/>
      <c r="Q242" s="6"/>
      <c r="R242" s="6"/>
      <c r="S242" s="6"/>
    </row>
    <row r="243" spans="1:19" x14ac:dyDescent="0.25">
      <c r="A243" s="22" t="s">
        <v>2310</v>
      </c>
      <c r="B243" s="6" t="s">
        <v>2311</v>
      </c>
      <c r="C243" s="6" t="s">
        <v>2312</v>
      </c>
      <c r="D243" s="6" t="s">
        <v>103</v>
      </c>
      <c r="E243" s="6" t="s">
        <v>145</v>
      </c>
      <c r="F243" s="6" t="s">
        <v>105</v>
      </c>
      <c r="G243" s="6" t="s">
        <v>80</v>
      </c>
      <c r="H243" s="6"/>
      <c r="I243" s="6" t="s">
        <v>2313</v>
      </c>
      <c r="J243" s="6" t="s">
        <v>2314</v>
      </c>
      <c r="K243" s="6" t="s">
        <v>2315</v>
      </c>
      <c r="L243" s="23"/>
      <c r="M243" s="6" t="s">
        <v>33</v>
      </c>
      <c r="N243" s="6"/>
      <c r="O243" s="6"/>
      <c r="P243" s="24"/>
      <c r="Q243" s="6"/>
      <c r="R243" s="6"/>
      <c r="S243" s="6"/>
    </row>
    <row r="244" spans="1:19" x14ac:dyDescent="0.25">
      <c r="A244" s="22" t="s">
        <v>2316</v>
      </c>
      <c r="B244" s="6" t="s">
        <v>663</v>
      </c>
      <c r="C244" s="6" t="s">
        <v>2317</v>
      </c>
      <c r="D244" s="6" t="s">
        <v>140</v>
      </c>
      <c r="E244" s="6" t="s">
        <v>145</v>
      </c>
      <c r="F244" s="6" t="s">
        <v>105</v>
      </c>
      <c r="G244" s="6" t="s">
        <v>80</v>
      </c>
      <c r="H244" s="6"/>
      <c r="I244" s="6" t="s">
        <v>2318</v>
      </c>
      <c r="J244" s="6" t="s">
        <v>2319</v>
      </c>
      <c r="K244" s="6" t="s">
        <v>2320</v>
      </c>
      <c r="L244" s="23" t="s">
        <v>2321</v>
      </c>
      <c r="M244" s="6" t="s">
        <v>33</v>
      </c>
      <c r="N244" s="6"/>
      <c r="O244" s="6"/>
      <c r="P244" s="24"/>
      <c r="Q244" s="6"/>
      <c r="R244" s="6"/>
      <c r="S244" s="6"/>
    </row>
  </sheetData>
  <autoFilter ref="A1:S1"/>
  <conditionalFormatting sqref="M2:M2000">
    <cfRule type="cellIs" dxfId="12" priority="1" operator="equal">
      <formula>"Pass"</formula>
    </cfRule>
    <cfRule type="cellIs" dxfId="13" priority="2" operator="equal">
      <formula>"Fail"</formula>
    </cfRule>
    <cfRule type="cellIs" dxfId="14" priority="3" operator="equal">
      <formula>"Blocked"</formula>
    </cfRule>
    <cfRule type="cellIs" dxfId="15" priority="4" operator="equal">
      <formula>"N/A"</formula>
    </cfRule>
  </conditionalFormatting>
  <dataValidations count="6">
    <dataValidation type="list" allowBlank="1" showErrorMessage="1" errorStyle="stop" errorTitle="Round" error="Choose one of: Round 1 (before the SAO opens a semester), Round 2 (after the SAO activates a semester), Any time" sqref="G10:G244">
      <formula1>"Round 1 (before the SAO opens a semester),Round 2 (after the SAO activates a semester),Any time"</formula1>
    </dataValidation>
    <dataValidation type="list" allowBlank="1" showErrorMessage="1" errorStyle="stop" errorTitle="Round" error="Choose one of: Round 1 (before the SAO opens a semester), Round 2 (after the SAO activates a semester), Any time" sqref="G2:G244">
      <formula1>"Round 1 (before the SAO opens a semester),Round 2 (after the SAO activates a semester),Any time"</formula1>
    </dataValidation>
    <dataValidation type="list" showErrorMessage="1" errorStyle="stop" errorTitle="Status" error="Choose one of: Not run, Pass, Fail, Blocked, N/A" sqref="M10:M244">
      <formula1>"Not run,Pass,Fail,Blocked,N/A"</formula1>
    </dataValidation>
    <dataValidation type="list" showErrorMessage="1" errorStyle="stop" errorTitle="Status" error="Choose one of: Not run, Pass, Fail, Blocked, N/A" sqref="M2:M244">
      <formula1>"Not run,Pass,Fail,Blocked,N/A"</formula1>
    </dataValidation>
    <dataValidation type="list" allowBlank="1" showErrorMessage="1" errorStyle="stop" errorTitle="Severity" error="Choose one of: Critical, Major, Minor, Cosmetic" sqref="N10:N244">
      <formula1>"Critical,Major,Minor,Cosmetic"</formula1>
    </dataValidation>
    <dataValidation type="list" allowBlank="1" showErrorMessage="1" errorStyle="stop" errorTitle="Severity" error="Choose one of: Critical, Major, Minor, Cosmetic" sqref="N2:N244">
      <formula1>"Critical,Major,Minor,Cosmetic"</formula1>
    </dataValidation>
  </dataValidations>
  <pageSetup paperSize="9"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95"/>
  <sheetViews>
    <sheetView workbookViewId="0">
      <pane xSplit="3" ySplit="1" topLeftCell="D2" activePane="bottomRight" state="frozen"/>
      <selection pane="bottomRight"/>
    </sheetView>
  </sheetViews>
  <sheetFormatPr defaultRowHeight="15" outlineLevelRow="0" outlineLevelCol="0" x14ac:dyDescent="55"/>
  <cols>
    <col min="1" max="1" width="12" customWidth="1"/>
    <col min="2" max="2" width="20" customWidth="1"/>
    <col min="3" max="3" width="38" customWidth="1"/>
    <col min="4" max="4" width="13" customWidth="1"/>
    <col min="5" max="5" width="10" customWidth="1"/>
    <col min="6" max="6" width="12" customWidth="1"/>
    <col min="7" max="7" width="24" customWidth="1"/>
    <col min="8" max="8" width="16" customWidth="1"/>
    <col min="9" max="9" width="34" customWidth="1"/>
    <col min="10" max="10" width="52" customWidth="1"/>
    <col min="11" max="11" width="40" customWidth="1"/>
    <col min="12" max="12" width="36" customWidth="1"/>
    <col min="13" max="14" width="12" customWidth="1"/>
    <col min="15" max="15" width="18" customWidth="1"/>
    <col min="16" max="16" width="13" customWidth="1"/>
    <col min="17" max="17" width="24" customWidth="1"/>
    <col min="18" max="18" width="44" customWidth="1"/>
    <col min="19" max="19" width="30" customWidth="1"/>
  </cols>
  <sheetData>
    <row r="1" ht="30" customHeight="1" spans="1:19" x14ac:dyDescent="0.25">
      <c r="A1" s="13" t="s">
        <v>82</v>
      </c>
      <c r="B1" s="13" t="s">
        <v>83</v>
      </c>
      <c r="C1" s="13" t="s">
        <v>84</v>
      </c>
      <c r="D1" s="13" t="s">
        <v>85</v>
      </c>
      <c r="E1" s="13" t="s">
        <v>86</v>
      </c>
      <c r="F1" s="13" t="s">
        <v>87</v>
      </c>
      <c r="G1" s="13" t="s">
        <v>77</v>
      </c>
      <c r="H1" s="13" t="s">
        <v>88</v>
      </c>
      <c r="I1" s="13" t="s">
        <v>89</v>
      </c>
      <c r="J1" s="13" t="s">
        <v>90</v>
      </c>
      <c r="K1" s="13" t="s">
        <v>91</v>
      </c>
      <c r="L1" s="13" t="s">
        <v>92</v>
      </c>
      <c r="M1" s="5" t="s">
        <v>93</v>
      </c>
      <c r="N1" s="5" t="s">
        <v>94</v>
      </c>
      <c r="O1" s="5" t="s">
        <v>95</v>
      </c>
      <c r="P1" s="5" t="s">
        <v>96</v>
      </c>
      <c r="Q1" s="5" t="s">
        <v>97</v>
      </c>
      <c r="R1" s="5" t="s">
        <v>98</v>
      </c>
      <c r="S1" s="5" t="s">
        <v>99</v>
      </c>
    </row>
    <row r="2" spans="1:19" x14ac:dyDescent="0.25">
      <c r="A2" s="22" t="s">
        <v>2322</v>
      </c>
      <c r="B2" s="6" t="s">
        <v>675</v>
      </c>
      <c r="C2" s="6" t="s">
        <v>2323</v>
      </c>
      <c r="D2" s="6" t="s">
        <v>103</v>
      </c>
      <c r="E2" s="6" t="s">
        <v>104</v>
      </c>
      <c r="F2" s="6" t="s">
        <v>105</v>
      </c>
      <c r="G2" s="6" t="s">
        <v>80</v>
      </c>
      <c r="H2" s="6"/>
      <c r="I2" s="6" t="s">
        <v>2324</v>
      </c>
      <c r="J2" s="6" t="s">
        <v>2325</v>
      </c>
      <c r="K2" s="6" t="s">
        <v>2326</v>
      </c>
      <c r="L2" s="23"/>
      <c r="M2" s="6" t="s">
        <v>33</v>
      </c>
      <c r="N2" s="6"/>
      <c r="O2" s="6"/>
      <c r="P2" s="24"/>
      <c r="Q2" s="6"/>
      <c r="R2" s="6"/>
      <c r="S2" s="6"/>
    </row>
    <row r="3" spans="1:19" x14ac:dyDescent="0.25">
      <c r="A3" s="22" t="s">
        <v>2327</v>
      </c>
      <c r="B3" s="6" t="s">
        <v>675</v>
      </c>
      <c r="C3" s="6" t="s">
        <v>2328</v>
      </c>
      <c r="D3" s="6" t="s">
        <v>112</v>
      </c>
      <c r="E3" s="6" t="s">
        <v>113</v>
      </c>
      <c r="F3" s="6" t="s">
        <v>105</v>
      </c>
      <c r="G3" s="6" t="s">
        <v>80</v>
      </c>
      <c r="H3" s="6"/>
      <c r="I3" s="6" t="s">
        <v>2329</v>
      </c>
      <c r="J3" s="6" t="s">
        <v>2330</v>
      </c>
      <c r="K3" s="6" t="s">
        <v>2331</v>
      </c>
      <c r="L3" s="23"/>
      <c r="M3" s="6" t="s">
        <v>33</v>
      </c>
      <c r="N3" s="6"/>
      <c r="O3" s="6"/>
      <c r="P3" s="24"/>
      <c r="Q3" s="6"/>
      <c r="R3" s="6"/>
      <c r="S3" s="6"/>
    </row>
    <row r="4" spans="1:19" x14ac:dyDescent="0.25">
      <c r="A4" s="22" t="s">
        <v>2332</v>
      </c>
      <c r="B4" s="6" t="s">
        <v>675</v>
      </c>
      <c r="C4" s="6" t="s">
        <v>2333</v>
      </c>
      <c r="D4" s="6" t="s">
        <v>209</v>
      </c>
      <c r="E4" s="6" t="s">
        <v>145</v>
      </c>
      <c r="F4" s="6" t="s">
        <v>105</v>
      </c>
      <c r="G4" s="6" t="s">
        <v>80</v>
      </c>
      <c r="H4" s="6"/>
      <c r="I4" s="6" t="s">
        <v>2334</v>
      </c>
      <c r="J4" s="6" t="s">
        <v>2335</v>
      </c>
      <c r="K4" s="6" t="s">
        <v>2336</v>
      </c>
      <c r="L4" s="23" t="s">
        <v>2337</v>
      </c>
      <c r="M4" s="6" t="s">
        <v>33</v>
      </c>
      <c r="N4" s="6"/>
      <c r="O4" s="6"/>
      <c r="P4" s="24"/>
      <c r="Q4" s="6"/>
      <c r="R4" s="6"/>
      <c r="S4" s="6"/>
    </row>
    <row r="5" spans="1:19" x14ac:dyDescent="0.25">
      <c r="A5" s="22" t="s">
        <v>2338</v>
      </c>
      <c r="B5" s="6" t="s">
        <v>2339</v>
      </c>
      <c r="C5" s="6" t="s">
        <v>2340</v>
      </c>
      <c r="D5" s="6" t="s">
        <v>103</v>
      </c>
      <c r="E5" s="6" t="s">
        <v>104</v>
      </c>
      <c r="F5" s="6" t="s">
        <v>121</v>
      </c>
      <c r="G5" s="6" t="s">
        <v>80</v>
      </c>
      <c r="H5" s="6"/>
      <c r="I5" s="6" t="s">
        <v>2341</v>
      </c>
      <c r="J5" s="6" t="s">
        <v>2342</v>
      </c>
      <c r="K5" s="6" t="s">
        <v>2343</v>
      </c>
      <c r="L5" s="23"/>
      <c r="M5" s="6" t="s">
        <v>33</v>
      </c>
      <c r="N5" s="6"/>
      <c r="O5" s="6"/>
      <c r="P5" s="24"/>
      <c r="Q5" s="6"/>
      <c r="R5" s="6"/>
      <c r="S5" s="6"/>
    </row>
    <row r="6" spans="1:19" x14ac:dyDescent="0.25">
      <c r="A6" s="22" t="s">
        <v>2344</v>
      </c>
      <c r="B6" s="6" t="s">
        <v>2339</v>
      </c>
      <c r="C6" s="6" t="s">
        <v>2345</v>
      </c>
      <c r="D6" s="6" t="s">
        <v>140</v>
      </c>
      <c r="E6" s="6" t="s">
        <v>113</v>
      </c>
      <c r="F6" s="6" t="s">
        <v>105</v>
      </c>
      <c r="G6" s="6" t="s">
        <v>80</v>
      </c>
      <c r="H6" s="6"/>
      <c r="I6" s="6" t="s">
        <v>2346</v>
      </c>
      <c r="J6" s="6" t="s">
        <v>2347</v>
      </c>
      <c r="K6" s="6" t="s">
        <v>2348</v>
      </c>
      <c r="L6" s="23"/>
      <c r="M6" s="6" t="s">
        <v>33</v>
      </c>
      <c r="N6" s="6"/>
      <c r="O6" s="6"/>
      <c r="P6" s="24"/>
      <c r="Q6" s="6"/>
      <c r="R6" s="6"/>
      <c r="S6" s="6"/>
    </row>
    <row r="7" spans="1:19" x14ac:dyDescent="0.25">
      <c r="A7" s="22" t="s">
        <v>2349</v>
      </c>
      <c r="B7" s="6" t="s">
        <v>653</v>
      </c>
      <c r="C7" s="6" t="s">
        <v>2350</v>
      </c>
      <c r="D7" s="6" t="s">
        <v>103</v>
      </c>
      <c r="E7" s="6" t="s">
        <v>145</v>
      </c>
      <c r="F7" s="6" t="s">
        <v>105</v>
      </c>
      <c r="G7" s="6" t="s">
        <v>80</v>
      </c>
      <c r="H7" s="6"/>
      <c r="I7" s="6" t="s">
        <v>2351</v>
      </c>
      <c r="J7" s="6" t="s">
        <v>2352</v>
      </c>
      <c r="K7" s="6" t="s">
        <v>2353</v>
      </c>
      <c r="L7" s="23"/>
      <c r="M7" s="6" t="s">
        <v>33</v>
      </c>
      <c r="N7" s="6"/>
      <c r="O7" s="6"/>
      <c r="P7" s="24"/>
      <c r="Q7" s="6"/>
      <c r="R7" s="6"/>
      <c r="S7" s="6"/>
    </row>
    <row r="8" spans="1:19" x14ac:dyDescent="0.25">
      <c r="A8" s="22" t="s">
        <v>2354</v>
      </c>
      <c r="B8" s="6" t="s">
        <v>138</v>
      </c>
      <c r="C8" s="6" t="s">
        <v>2355</v>
      </c>
      <c r="D8" s="6" t="s">
        <v>140</v>
      </c>
      <c r="E8" s="6" t="s">
        <v>104</v>
      </c>
      <c r="F8" s="6" t="s">
        <v>121</v>
      </c>
      <c r="G8" s="6" t="s">
        <v>80</v>
      </c>
      <c r="H8" s="6"/>
      <c r="I8" s="6" t="s">
        <v>2356</v>
      </c>
      <c r="J8" s="6" t="s">
        <v>2357</v>
      </c>
      <c r="K8" s="6" t="s">
        <v>2358</v>
      </c>
      <c r="L8" s="23"/>
      <c r="M8" s="6" t="s">
        <v>33</v>
      </c>
      <c r="N8" s="6"/>
      <c r="O8" s="6"/>
      <c r="P8" s="24"/>
      <c r="Q8" s="6"/>
      <c r="R8" s="6"/>
      <c r="S8" s="6"/>
    </row>
    <row r="9" spans="1:19" x14ac:dyDescent="0.25">
      <c r="A9" s="22" t="s">
        <v>2359</v>
      </c>
      <c r="B9" s="6" t="s">
        <v>138</v>
      </c>
      <c r="C9" s="6" t="s">
        <v>2360</v>
      </c>
      <c r="D9" s="6" t="s">
        <v>140</v>
      </c>
      <c r="E9" s="6" t="s">
        <v>104</v>
      </c>
      <c r="F9" s="6" t="s">
        <v>121</v>
      </c>
      <c r="G9" s="6" t="s">
        <v>80</v>
      </c>
      <c r="H9" s="6"/>
      <c r="I9" s="6" t="s">
        <v>2361</v>
      </c>
      <c r="J9" s="6" t="s">
        <v>2362</v>
      </c>
      <c r="K9" s="6" t="s">
        <v>2363</v>
      </c>
      <c r="L9" s="23"/>
      <c r="M9" s="6" t="s">
        <v>33</v>
      </c>
      <c r="N9" s="6"/>
      <c r="O9" s="6"/>
      <c r="P9" s="24"/>
      <c r="Q9" s="6"/>
      <c r="R9" s="6"/>
      <c r="S9" s="6"/>
    </row>
    <row r="10" spans="1:19" x14ac:dyDescent="0.25">
      <c r="A10" s="22" t="s">
        <v>2364</v>
      </c>
      <c r="B10" s="6" t="s">
        <v>2057</v>
      </c>
      <c r="C10" s="6" t="s">
        <v>2365</v>
      </c>
      <c r="D10" s="6" t="s">
        <v>140</v>
      </c>
      <c r="E10" s="6" t="s">
        <v>104</v>
      </c>
      <c r="F10" s="6" t="s">
        <v>105</v>
      </c>
      <c r="G10" s="6" t="s">
        <v>80</v>
      </c>
      <c r="H10" s="6"/>
      <c r="I10" s="6" t="s">
        <v>2366</v>
      </c>
      <c r="J10" s="6" t="s">
        <v>2367</v>
      </c>
      <c r="K10" s="6" t="s">
        <v>2368</v>
      </c>
      <c r="L10" s="23"/>
      <c r="M10" s="6" t="s">
        <v>33</v>
      </c>
      <c r="N10" s="6"/>
      <c r="O10" s="6"/>
      <c r="P10" s="24"/>
      <c r="Q10" s="6"/>
      <c r="R10" s="6"/>
      <c r="S10" s="6"/>
    </row>
    <row r="11" spans="1:19" x14ac:dyDescent="0.25">
      <c r="A11" s="22" t="s">
        <v>2369</v>
      </c>
      <c r="B11" s="6" t="s">
        <v>138</v>
      </c>
      <c r="C11" s="6" t="s">
        <v>2370</v>
      </c>
      <c r="D11" s="6" t="s">
        <v>140</v>
      </c>
      <c r="E11" s="6" t="s">
        <v>145</v>
      </c>
      <c r="F11" s="6" t="s">
        <v>105</v>
      </c>
      <c r="G11" s="6" t="s">
        <v>80</v>
      </c>
      <c r="H11" s="6"/>
      <c r="I11" s="6" t="s">
        <v>2361</v>
      </c>
      <c r="J11" s="6" t="s">
        <v>2371</v>
      </c>
      <c r="K11" s="6" t="s">
        <v>2372</v>
      </c>
      <c r="L11" s="23" t="s">
        <v>2373</v>
      </c>
      <c r="M11" s="6" t="s">
        <v>33</v>
      </c>
      <c r="N11" s="6"/>
      <c r="O11" s="6"/>
      <c r="P11" s="24"/>
      <c r="Q11" s="6"/>
      <c r="R11" s="6"/>
      <c r="S11" s="6"/>
    </row>
    <row r="12" spans="1:19" x14ac:dyDescent="0.25">
      <c r="A12" s="22" t="s">
        <v>2374</v>
      </c>
      <c r="B12" s="6" t="s">
        <v>2339</v>
      </c>
      <c r="C12" s="6" t="s">
        <v>2375</v>
      </c>
      <c r="D12" s="6" t="s">
        <v>120</v>
      </c>
      <c r="E12" s="6" t="s">
        <v>113</v>
      </c>
      <c r="F12" s="6" t="s">
        <v>127</v>
      </c>
      <c r="G12" s="6" t="s">
        <v>80</v>
      </c>
      <c r="H12" s="6"/>
      <c r="I12" s="6" t="s">
        <v>2376</v>
      </c>
      <c r="J12" s="6" t="s">
        <v>2377</v>
      </c>
      <c r="K12" s="6" t="s">
        <v>2378</v>
      </c>
      <c r="L12" s="23"/>
      <c r="M12" s="6" t="s">
        <v>33</v>
      </c>
      <c r="N12" s="6"/>
      <c r="O12" s="6"/>
      <c r="P12" s="24"/>
      <c r="Q12" s="6"/>
      <c r="R12" s="6"/>
      <c r="S12" s="6"/>
    </row>
    <row r="13" spans="1:19" x14ac:dyDescent="0.25">
      <c r="A13" s="22" t="s">
        <v>2379</v>
      </c>
      <c r="B13" s="6" t="s">
        <v>2339</v>
      </c>
      <c r="C13" s="6" t="s">
        <v>2380</v>
      </c>
      <c r="D13" s="6" t="s">
        <v>140</v>
      </c>
      <c r="E13" s="6" t="s">
        <v>145</v>
      </c>
      <c r="F13" s="6" t="s">
        <v>121</v>
      </c>
      <c r="G13" s="6" t="s">
        <v>80</v>
      </c>
      <c r="H13" s="6"/>
      <c r="I13" s="6" t="s">
        <v>2361</v>
      </c>
      <c r="J13" s="6" t="s">
        <v>2381</v>
      </c>
      <c r="K13" s="6" t="s">
        <v>2382</v>
      </c>
      <c r="L13" s="23"/>
      <c r="M13" s="6" t="s">
        <v>33</v>
      </c>
      <c r="N13" s="6"/>
      <c r="O13" s="6"/>
      <c r="P13" s="24"/>
      <c r="Q13" s="6"/>
      <c r="R13" s="6"/>
      <c r="S13" s="6"/>
    </row>
    <row r="14" spans="1:19" x14ac:dyDescent="0.25">
      <c r="A14" s="22" t="s">
        <v>2383</v>
      </c>
      <c r="B14" s="6" t="s">
        <v>2339</v>
      </c>
      <c r="C14" s="6" t="s">
        <v>2384</v>
      </c>
      <c r="D14" s="6" t="s">
        <v>103</v>
      </c>
      <c r="E14" s="6" t="s">
        <v>113</v>
      </c>
      <c r="F14" s="6" t="s">
        <v>105</v>
      </c>
      <c r="G14" s="6" t="s">
        <v>80</v>
      </c>
      <c r="H14" s="6"/>
      <c r="I14" s="6" t="s">
        <v>2361</v>
      </c>
      <c r="J14" s="6" t="s">
        <v>2385</v>
      </c>
      <c r="K14" s="6" t="s">
        <v>2386</v>
      </c>
      <c r="L14" s="23" t="s">
        <v>2387</v>
      </c>
      <c r="M14" s="6" t="s">
        <v>33</v>
      </c>
      <c r="N14" s="6"/>
      <c r="O14" s="6"/>
      <c r="P14" s="24"/>
      <c r="Q14" s="6"/>
      <c r="R14" s="6"/>
      <c r="S14" s="6"/>
    </row>
    <row r="15" spans="1:19" x14ac:dyDescent="0.25">
      <c r="A15" s="22" t="s">
        <v>2388</v>
      </c>
      <c r="B15" s="6" t="s">
        <v>164</v>
      </c>
      <c r="C15" s="6" t="s">
        <v>2389</v>
      </c>
      <c r="D15" s="6" t="s">
        <v>103</v>
      </c>
      <c r="E15" s="6" t="s">
        <v>104</v>
      </c>
      <c r="F15" s="6" t="s">
        <v>121</v>
      </c>
      <c r="G15" s="6" t="s">
        <v>78</v>
      </c>
      <c r="H15" s="6"/>
      <c r="I15" s="6" t="s">
        <v>2390</v>
      </c>
      <c r="J15" s="6" t="s">
        <v>2391</v>
      </c>
      <c r="K15" s="6" t="s">
        <v>2392</v>
      </c>
      <c r="L15" s="23"/>
      <c r="M15" s="6" t="s">
        <v>33</v>
      </c>
      <c r="N15" s="6"/>
      <c r="O15" s="6"/>
      <c r="P15" s="24"/>
      <c r="Q15" s="6"/>
      <c r="R15" s="6"/>
      <c r="S15" s="6"/>
    </row>
    <row r="16" spans="1:19" x14ac:dyDescent="0.25">
      <c r="A16" s="22" t="s">
        <v>2393</v>
      </c>
      <c r="B16" s="6" t="s">
        <v>164</v>
      </c>
      <c r="C16" s="6" t="s">
        <v>2394</v>
      </c>
      <c r="D16" s="6" t="s">
        <v>103</v>
      </c>
      <c r="E16" s="6" t="s">
        <v>113</v>
      </c>
      <c r="F16" s="6" t="s">
        <v>105</v>
      </c>
      <c r="G16" s="6" t="s">
        <v>80</v>
      </c>
      <c r="H16" s="6"/>
      <c r="I16" s="6" t="s">
        <v>2361</v>
      </c>
      <c r="J16" s="6" t="s">
        <v>2395</v>
      </c>
      <c r="K16" s="6" t="s">
        <v>2396</v>
      </c>
      <c r="L16" s="23"/>
      <c r="M16" s="6" t="s">
        <v>33</v>
      </c>
      <c r="N16" s="6"/>
      <c r="O16" s="6"/>
      <c r="P16" s="24"/>
      <c r="Q16" s="6"/>
      <c r="R16" s="6"/>
      <c r="S16" s="6"/>
    </row>
    <row r="17" spans="1:19" x14ac:dyDescent="0.25">
      <c r="A17" s="22" t="s">
        <v>2397</v>
      </c>
      <c r="B17" s="6" t="s">
        <v>164</v>
      </c>
      <c r="C17" s="6" t="s">
        <v>2398</v>
      </c>
      <c r="D17" s="6" t="s">
        <v>103</v>
      </c>
      <c r="E17" s="6" t="s">
        <v>113</v>
      </c>
      <c r="F17" s="6" t="s">
        <v>105</v>
      </c>
      <c r="G17" s="6" t="s">
        <v>80</v>
      </c>
      <c r="H17" s="6"/>
      <c r="I17" s="6" t="s">
        <v>2399</v>
      </c>
      <c r="J17" s="6" t="s">
        <v>2400</v>
      </c>
      <c r="K17" s="6" t="s">
        <v>2401</v>
      </c>
      <c r="L17" s="23" t="s">
        <v>2402</v>
      </c>
      <c r="M17" s="6" t="s">
        <v>33</v>
      </c>
      <c r="N17" s="6"/>
      <c r="O17" s="6"/>
      <c r="P17" s="24"/>
      <c r="Q17" s="6"/>
      <c r="R17" s="6"/>
      <c r="S17" s="6"/>
    </row>
    <row r="18" spans="1:19" x14ac:dyDescent="0.25">
      <c r="A18" s="22" t="s">
        <v>2403</v>
      </c>
      <c r="B18" s="6" t="s">
        <v>164</v>
      </c>
      <c r="C18" s="6" t="s">
        <v>2404</v>
      </c>
      <c r="D18" s="6" t="s">
        <v>120</v>
      </c>
      <c r="E18" s="6" t="s">
        <v>145</v>
      </c>
      <c r="F18" s="6" t="s">
        <v>105</v>
      </c>
      <c r="G18" s="6" t="s">
        <v>79</v>
      </c>
      <c r="H18" s="6"/>
      <c r="I18" s="6" t="s">
        <v>2405</v>
      </c>
      <c r="J18" s="6" t="s">
        <v>2406</v>
      </c>
      <c r="K18" s="6" t="s">
        <v>2407</v>
      </c>
      <c r="L18" s="23" t="s">
        <v>2408</v>
      </c>
      <c r="M18" s="6" t="s">
        <v>33</v>
      </c>
      <c r="N18" s="6"/>
      <c r="O18" s="6"/>
      <c r="P18" s="24"/>
      <c r="Q18" s="6"/>
      <c r="R18" s="6"/>
      <c r="S18" s="6"/>
    </row>
    <row r="19" spans="1:19" x14ac:dyDescent="0.25">
      <c r="A19" s="22" t="s">
        <v>2409</v>
      </c>
      <c r="B19" s="6" t="s">
        <v>1574</v>
      </c>
      <c r="C19" s="6" t="s">
        <v>2410</v>
      </c>
      <c r="D19" s="6" t="s">
        <v>103</v>
      </c>
      <c r="E19" s="6" t="s">
        <v>104</v>
      </c>
      <c r="F19" s="6" t="s">
        <v>105</v>
      </c>
      <c r="G19" s="6" t="s">
        <v>78</v>
      </c>
      <c r="H19" s="6"/>
      <c r="I19" s="6" t="s">
        <v>2411</v>
      </c>
      <c r="J19" s="6" t="s">
        <v>2412</v>
      </c>
      <c r="K19" s="6" t="s">
        <v>2413</v>
      </c>
      <c r="L19" s="23"/>
      <c r="M19" s="6" t="s">
        <v>33</v>
      </c>
      <c r="N19" s="6"/>
      <c r="O19" s="6"/>
      <c r="P19" s="24"/>
      <c r="Q19" s="6"/>
      <c r="R19" s="6"/>
      <c r="S19" s="6"/>
    </row>
    <row r="20" spans="1:19" x14ac:dyDescent="0.25">
      <c r="A20" s="22" t="s">
        <v>2414</v>
      </c>
      <c r="B20" s="6" t="s">
        <v>1574</v>
      </c>
      <c r="C20" s="6" t="s">
        <v>2415</v>
      </c>
      <c r="D20" s="6" t="s">
        <v>209</v>
      </c>
      <c r="E20" s="6" t="s">
        <v>113</v>
      </c>
      <c r="F20" s="6" t="s">
        <v>105</v>
      </c>
      <c r="G20" s="6" t="s">
        <v>80</v>
      </c>
      <c r="H20" s="6"/>
      <c r="I20" s="6" t="s">
        <v>2416</v>
      </c>
      <c r="J20" s="6" t="s">
        <v>2417</v>
      </c>
      <c r="K20" s="6" t="s">
        <v>2418</v>
      </c>
      <c r="L20" s="23"/>
      <c r="M20" s="6" t="s">
        <v>33</v>
      </c>
      <c r="N20" s="6"/>
      <c r="O20" s="6"/>
      <c r="P20" s="24"/>
      <c r="Q20" s="6"/>
      <c r="R20" s="6"/>
      <c r="S20" s="6"/>
    </row>
    <row r="21" spans="1:19" x14ac:dyDescent="0.25">
      <c r="A21" s="22" t="s">
        <v>2419</v>
      </c>
      <c r="B21" s="6" t="s">
        <v>1574</v>
      </c>
      <c r="C21" s="6" t="s">
        <v>2420</v>
      </c>
      <c r="D21" s="6" t="s">
        <v>112</v>
      </c>
      <c r="E21" s="6" t="s">
        <v>104</v>
      </c>
      <c r="F21" s="6" t="s">
        <v>105</v>
      </c>
      <c r="G21" s="6" t="s">
        <v>80</v>
      </c>
      <c r="H21" s="6"/>
      <c r="I21" s="6" t="s">
        <v>2421</v>
      </c>
      <c r="J21" s="6" t="s">
        <v>2422</v>
      </c>
      <c r="K21" s="6" t="s">
        <v>2423</v>
      </c>
      <c r="L21" s="23" t="s">
        <v>2424</v>
      </c>
      <c r="M21" s="6" t="s">
        <v>33</v>
      </c>
      <c r="N21" s="6"/>
      <c r="O21" s="6"/>
      <c r="P21" s="24"/>
      <c r="Q21" s="6"/>
      <c r="R21" s="6"/>
      <c r="S21" s="6"/>
    </row>
    <row r="22" spans="1:19" x14ac:dyDescent="0.25">
      <c r="A22" s="22" t="s">
        <v>2425</v>
      </c>
      <c r="B22" s="6" t="s">
        <v>1574</v>
      </c>
      <c r="C22" s="6" t="s">
        <v>2426</v>
      </c>
      <c r="D22" s="6" t="s">
        <v>112</v>
      </c>
      <c r="E22" s="6" t="s">
        <v>113</v>
      </c>
      <c r="F22" s="6" t="s">
        <v>105</v>
      </c>
      <c r="G22" s="6" t="s">
        <v>80</v>
      </c>
      <c r="H22" s="6"/>
      <c r="I22" s="6" t="s">
        <v>2427</v>
      </c>
      <c r="J22" s="6" t="s">
        <v>2428</v>
      </c>
      <c r="K22" s="6" t="s">
        <v>2429</v>
      </c>
      <c r="L22" s="23"/>
      <c r="M22" s="6" t="s">
        <v>33</v>
      </c>
      <c r="N22" s="6"/>
      <c r="O22" s="6"/>
      <c r="P22" s="24"/>
      <c r="Q22" s="6"/>
      <c r="R22" s="6"/>
      <c r="S22" s="6"/>
    </row>
    <row r="23" spans="1:19" x14ac:dyDescent="0.25">
      <c r="A23" s="22" t="s">
        <v>2430</v>
      </c>
      <c r="B23" s="6" t="s">
        <v>1574</v>
      </c>
      <c r="C23" s="6" t="s">
        <v>2431</v>
      </c>
      <c r="D23" s="6" t="s">
        <v>103</v>
      </c>
      <c r="E23" s="6" t="s">
        <v>113</v>
      </c>
      <c r="F23" s="6" t="s">
        <v>105</v>
      </c>
      <c r="G23" s="6" t="s">
        <v>78</v>
      </c>
      <c r="H23" s="6"/>
      <c r="I23" s="6" t="s">
        <v>2432</v>
      </c>
      <c r="J23" s="6" t="s">
        <v>2433</v>
      </c>
      <c r="K23" s="6" t="s">
        <v>2434</v>
      </c>
      <c r="L23" s="23"/>
      <c r="M23" s="6" t="s">
        <v>33</v>
      </c>
      <c r="N23" s="6"/>
      <c r="O23" s="6"/>
      <c r="P23" s="24"/>
      <c r="Q23" s="6"/>
      <c r="R23" s="6"/>
      <c r="S23" s="6"/>
    </row>
    <row r="24" spans="1:19" x14ac:dyDescent="0.25">
      <c r="A24" s="22" t="s">
        <v>2435</v>
      </c>
      <c r="B24" s="6" t="s">
        <v>1574</v>
      </c>
      <c r="C24" s="6" t="s">
        <v>2436</v>
      </c>
      <c r="D24" s="6" t="s">
        <v>103</v>
      </c>
      <c r="E24" s="6" t="s">
        <v>113</v>
      </c>
      <c r="F24" s="6" t="s">
        <v>121</v>
      </c>
      <c r="G24" s="6" t="s">
        <v>80</v>
      </c>
      <c r="H24" s="6"/>
      <c r="I24" s="6" t="s">
        <v>2437</v>
      </c>
      <c r="J24" s="6" t="s">
        <v>2438</v>
      </c>
      <c r="K24" s="6" t="s">
        <v>2439</v>
      </c>
      <c r="L24" s="23"/>
      <c r="M24" s="6" t="s">
        <v>33</v>
      </c>
      <c r="N24" s="6"/>
      <c r="O24" s="6"/>
      <c r="P24" s="24"/>
      <c r="Q24" s="6"/>
      <c r="R24" s="6"/>
      <c r="S24" s="6"/>
    </row>
    <row r="25" spans="1:19" x14ac:dyDescent="0.25">
      <c r="A25" s="22" t="s">
        <v>2440</v>
      </c>
      <c r="B25" s="6" t="s">
        <v>1574</v>
      </c>
      <c r="C25" s="6" t="s">
        <v>2441</v>
      </c>
      <c r="D25" s="6" t="s">
        <v>112</v>
      </c>
      <c r="E25" s="6" t="s">
        <v>113</v>
      </c>
      <c r="F25" s="6" t="s">
        <v>121</v>
      </c>
      <c r="G25" s="6" t="s">
        <v>80</v>
      </c>
      <c r="H25" s="6"/>
      <c r="I25" s="6" t="s">
        <v>2442</v>
      </c>
      <c r="J25" s="6" t="s">
        <v>2443</v>
      </c>
      <c r="K25" s="6" t="s">
        <v>2444</v>
      </c>
      <c r="L25" s="23" t="s">
        <v>2445</v>
      </c>
      <c r="M25" s="6" t="s">
        <v>33</v>
      </c>
      <c r="N25" s="6"/>
      <c r="O25" s="6"/>
      <c r="P25" s="24"/>
      <c r="Q25" s="6"/>
      <c r="R25" s="6"/>
      <c r="S25" s="6"/>
    </row>
    <row r="26" spans="1:19" x14ac:dyDescent="0.25">
      <c r="A26" s="22" t="s">
        <v>2446</v>
      </c>
      <c r="B26" s="6" t="s">
        <v>1574</v>
      </c>
      <c r="C26" s="6" t="s">
        <v>2447</v>
      </c>
      <c r="D26" s="6" t="s">
        <v>120</v>
      </c>
      <c r="E26" s="6" t="s">
        <v>113</v>
      </c>
      <c r="F26" s="6" t="s">
        <v>127</v>
      </c>
      <c r="G26" s="6" t="s">
        <v>78</v>
      </c>
      <c r="H26" s="6"/>
      <c r="I26" s="6" t="s">
        <v>2448</v>
      </c>
      <c r="J26" s="6" t="s">
        <v>2449</v>
      </c>
      <c r="K26" s="6" t="s">
        <v>2450</v>
      </c>
      <c r="L26" s="23"/>
      <c r="M26" s="6" t="s">
        <v>33</v>
      </c>
      <c r="N26" s="6"/>
      <c r="O26" s="6"/>
      <c r="P26" s="24"/>
      <c r="Q26" s="6"/>
      <c r="R26" s="6"/>
      <c r="S26" s="6"/>
    </row>
    <row r="27" spans="1:19" x14ac:dyDescent="0.25">
      <c r="A27" s="22" t="s">
        <v>2451</v>
      </c>
      <c r="B27" s="6" t="s">
        <v>2452</v>
      </c>
      <c r="C27" s="6" t="s">
        <v>2453</v>
      </c>
      <c r="D27" s="6" t="s">
        <v>103</v>
      </c>
      <c r="E27" s="6" t="s">
        <v>113</v>
      </c>
      <c r="F27" s="6" t="s">
        <v>105</v>
      </c>
      <c r="G27" s="6" t="s">
        <v>78</v>
      </c>
      <c r="H27" s="6"/>
      <c r="I27" s="6" t="s">
        <v>2454</v>
      </c>
      <c r="J27" s="6" t="s">
        <v>2455</v>
      </c>
      <c r="K27" s="6" t="s">
        <v>2456</v>
      </c>
      <c r="L27" s="23"/>
      <c r="M27" s="6" t="s">
        <v>33</v>
      </c>
      <c r="N27" s="6"/>
      <c r="O27" s="6"/>
      <c r="P27" s="24"/>
      <c r="Q27" s="6"/>
      <c r="R27" s="6"/>
      <c r="S27" s="6"/>
    </row>
    <row r="28" spans="1:19" x14ac:dyDescent="0.25">
      <c r="A28" s="22" t="s">
        <v>2457</v>
      </c>
      <c r="B28" s="6" t="s">
        <v>2452</v>
      </c>
      <c r="C28" s="6" t="s">
        <v>2458</v>
      </c>
      <c r="D28" s="6" t="s">
        <v>140</v>
      </c>
      <c r="E28" s="6" t="s">
        <v>104</v>
      </c>
      <c r="F28" s="6" t="s">
        <v>105</v>
      </c>
      <c r="G28" s="6" t="s">
        <v>78</v>
      </c>
      <c r="H28" s="6"/>
      <c r="I28" s="6" t="s">
        <v>2454</v>
      </c>
      <c r="J28" s="6" t="s">
        <v>2459</v>
      </c>
      <c r="K28" s="6" t="s">
        <v>2460</v>
      </c>
      <c r="L28" s="23"/>
      <c r="M28" s="6" t="s">
        <v>33</v>
      </c>
      <c r="N28" s="6"/>
      <c r="O28" s="6"/>
      <c r="P28" s="24"/>
      <c r="Q28" s="6"/>
      <c r="R28" s="6"/>
      <c r="S28" s="6"/>
    </row>
    <row r="29" spans="1:19" x14ac:dyDescent="0.25">
      <c r="A29" s="22" t="s">
        <v>2461</v>
      </c>
      <c r="B29" s="6" t="s">
        <v>1604</v>
      </c>
      <c r="C29" s="6" t="s">
        <v>2462</v>
      </c>
      <c r="D29" s="6" t="s">
        <v>103</v>
      </c>
      <c r="E29" s="6" t="s">
        <v>113</v>
      </c>
      <c r="F29" s="6" t="s">
        <v>105</v>
      </c>
      <c r="G29" s="6" t="s">
        <v>80</v>
      </c>
      <c r="H29" s="6"/>
      <c r="I29" s="6" t="s">
        <v>2463</v>
      </c>
      <c r="J29" s="6" t="s">
        <v>2464</v>
      </c>
      <c r="K29" s="6" t="s">
        <v>2465</v>
      </c>
      <c r="L29" s="23"/>
      <c r="M29" s="6" t="s">
        <v>33</v>
      </c>
      <c r="N29" s="6"/>
      <c r="O29" s="6"/>
      <c r="P29" s="24"/>
      <c r="Q29" s="6"/>
      <c r="R29" s="6"/>
      <c r="S29" s="6"/>
    </row>
    <row r="30" spans="1:19" x14ac:dyDescent="0.25">
      <c r="A30" s="22" t="s">
        <v>2466</v>
      </c>
      <c r="B30" s="6" t="s">
        <v>1604</v>
      </c>
      <c r="C30" s="6" t="s">
        <v>2467</v>
      </c>
      <c r="D30" s="6" t="s">
        <v>209</v>
      </c>
      <c r="E30" s="6" t="s">
        <v>113</v>
      </c>
      <c r="F30" s="6" t="s">
        <v>105</v>
      </c>
      <c r="G30" s="6" t="s">
        <v>80</v>
      </c>
      <c r="H30" s="6"/>
      <c r="I30" s="6" t="s">
        <v>2468</v>
      </c>
      <c r="J30" s="6" t="s">
        <v>2469</v>
      </c>
      <c r="K30" s="6" t="s">
        <v>2470</v>
      </c>
      <c r="L30" s="23" t="s">
        <v>2471</v>
      </c>
      <c r="M30" s="6" t="s">
        <v>33</v>
      </c>
      <c r="N30" s="6"/>
      <c r="O30" s="6"/>
      <c r="P30" s="24"/>
      <c r="Q30" s="6"/>
      <c r="R30" s="6"/>
      <c r="S30" s="6"/>
    </row>
    <row r="31" spans="1:19" x14ac:dyDescent="0.25">
      <c r="A31" s="22" t="s">
        <v>2472</v>
      </c>
      <c r="B31" s="6" t="s">
        <v>1604</v>
      </c>
      <c r="C31" s="6" t="s">
        <v>2473</v>
      </c>
      <c r="D31" s="6" t="s">
        <v>103</v>
      </c>
      <c r="E31" s="6" t="s">
        <v>113</v>
      </c>
      <c r="F31" s="6" t="s">
        <v>105</v>
      </c>
      <c r="G31" s="6" t="s">
        <v>80</v>
      </c>
      <c r="H31" s="6"/>
      <c r="I31" s="6" t="s">
        <v>2474</v>
      </c>
      <c r="J31" s="6" t="s">
        <v>2475</v>
      </c>
      <c r="K31" s="6" t="s">
        <v>2476</v>
      </c>
      <c r="L31" s="23"/>
      <c r="M31" s="6" t="s">
        <v>33</v>
      </c>
      <c r="N31" s="6"/>
      <c r="O31" s="6"/>
      <c r="P31" s="24"/>
      <c r="Q31" s="6"/>
      <c r="R31" s="6"/>
      <c r="S31" s="6"/>
    </row>
    <row r="32" spans="1:19" x14ac:dyDescent="0.25">
      <c r="A32" s="22" t="s">
        <v>2477</v>
      </c>
      <c r="B32" s="6" t="s">
        <v>2478</v>
      </c>
      <c r="C32" s="6" t="s">
        <v>2479</v>
      </c>
      <c r="D32" s="6" t="s">
        <v>103</v>
      </c>
      <c r="E32" s="6" t="s">
        <v>104</v>
      </c>
      <c r="F32" s="6" t="s">
        <v>105</v>
      </c>
      <c r="G32" s="6" t="s">
        <v>78</v>
      </c>
      <c r="H32" s="6"/>
      <c r="I32" s="6" t="s">
        <v>2480</v>
      </c>
      <c r="J32" s="6" t="s">
        <v>2481</v>
      </c>
      <c r="K32" s="6" t="s">
        <v>2482</v>
      </c>
      <c r="L32" s="23"/>
      <c r="M32" s="6" t="s">
        <v>33</v>
      </c>
      <c r="N32" s="6"/>
      <c r="O32" s="6"/>
      <c r="P32" s="24"/>
      <c r="Q32" s="6"/>
      <c r="R32" s="6"/>
      <c r="S32" s="6"/>
    </row>
    <row r="33" spans="1:19" x14ac:dyDescent="0.25">
      <c r="A33" s="22" t="s">
        <v>2483</v>
      </c>
      <c r="B33" s="6" t="s">
        <v>2478</v>
      </c>
      <c r="C33" s="6" t="s">
        <v>2484</v>
      </c>
      <c r="D33" s="6" t="s">
        <v>103</v>
      </c>
      <c r="E33" s="6" t="s">
        <v>104</v>
      </c>
      <c r="F33" s="6" t="s">
        <v>105</v>
      </c>
      <c r="G33" s="6" t="s">
        <v>80</v>
      </c>
      <c r="H33" s="6"/>
      <c r="I33" s="6" t="s">
        <v>2485</v>
      </c>
      <c r="J33" s="6" t="s">
        <v>2486</v>
      </c>
      <c r="K33" s="6" t="s">
        <v>2487</v>
      </c>
      <c r="L33" s="23"/>
      <c r="M33" s="6" t="s">
        <v>33</v>
      </c>
      <c r="N33" s="6"/>
      <c r="O33" s="6"/>
      <c r="P33" s="24"/>
      <c r="Q33" s="6"/>
      <c r="R33" s="6"/>
      <c r="S33" s="6"/>
    </row>
    <row r="34" spans="1:19" x14ac:dyDescent="0.25">
      <c r="A34" s="22" t="s">
        <v>2488</v>
      </c>
      <c r="B34" s="6" t="s">
        <v>2478</v>
      </c>
      <c r="C34" s="6" t="s">
        <v>2489</v>
      </c>
      <c r="D34" s="6" t="s">
        <v>103</v>
      </c>
      <c r="E34" s="6" t="s">
        <v>104</v>
      </c>
      <c r="F34" s="6" t="s">
        <v>105</v>
      </c>
      <c r="G34" s="6" t="s">
        <v>80</v>
      </c>
      <c r="H34" s="6"/>
      <c r="I34" s="6" t="s">
        <v>2490</v>
      </c>
      <c r="J34" s="6" t="s">
        <v>2491</v>
      </c>
      <c r="K34" s="6" t="s">
        <v>2492</v>
      </c>
      <c r="L34" s="23"/>
      <c r="M34" s="6" t="s">
        <v>33</v>
      </c>
      <c r="N34" s="6"/>
      <c r="O34" s="6"/>
      <c r="P34" s="24"/>
      <c r="Q34" s="6"/>
      <c r="R34" s="6"/>
      <c r="S34" s="6"/>
    </row>
    <row r="35" spans="1:19" x14ac:dyDescent="0.25">
      <c r="A35" s="22" t="s">
        <v>2493</v>
      </c>
      <c r="B35" s="6" t="s">
        <v>2478</v>
      </c>
      <c r="C35" s="6" t="s">
        <v>2494</v>
      </c>
      <c r="D35" s="6" t="s">
        <v>209</v>
      </c>
      <c r="E35" s="6" t="s">
        <v>113</v>
      </c>
      <c r="F35" s="6" t="s">
        <v>105</v>
      </c>
      <c r="G35" s="6" t="s">
        <v>80</v>
      </c>
      <c r="H35" s="6"/>
      <c r="I35" s="6" t="s">
        <v>2495</v>
      </c>
      <c r="J35" s="6" t="s">
        <v>2496</v>
      </c>
      <c r="K35" s="6" t="s">
        <v>2497</v>
      </c>
      <c r="L35" s="23" t="s">
        <v>2498</v>
      </c>
      <c r="M35" s="6" t="s">
        <v>33</v>
      </c>
      <c r="N35" s="6"/>
      <c r="O35" s="6"/>
      <c r="P35" s="24"/>
      <c r="Q35" s="6"/>
      <c r="R35" s="6"/>
      <c r="S35" s="6"/>
    </row>
    <row r="36" spans="1:19" x14ac:dyDescent="0.25">
      <c r="A36" s="22" t="s">
        <v>2499</v>
      </c>
      <c r="B36" s="6" t="s">
        <v>2478</v>
      </c>
      <c r="C36" s="6" t="s">
        <v>2500</v>
      </c>
      <c r="D36" s="6" t="s">
        <v>103</v>
      </c>
      <c r="E36" s="6" t="s">
        <v>113</v>
      </c>
      <c r="F36" s="6" t="s">
        <v>105</v>
      </c>
      <c r="G36" s="6" t="s">
        <v>80</v>
      </c>
      <c r="H36" s="6"/>
      <c r="I36" s="6" t="s">
        <v>2501</v>
      </c>
      <c r="J36" s="6" t="s">
        <v>2502</v>
      </c>
      <c r="K36" s="6" t="s">
        <v>2503</v>
      </c>
      <c r="L36" s="23"/>
      <c r="M36" s="6" t="s">
        <v>33</v>
      </c>
      <c r="N36" s="6"/>
      <c r="O36" s="6"/>
      <c r="P36" s="24"/>
      <c r="Q36" s="6"/>
      <c r="R36" s="6"/>
      <c r="S36" s="6"/>
    </row>
    <row r="37" spans="1:19" x14ac:dyDescent="0.25">
      <c r="A37" s="22" t="s">
        <v>2504</v>
      </c>
      <c r="B37" s="6" t="s">
        <v>2478</v>
      </c>
      <c r="C37" s="6" t="s">
        <v>2505</v>
      </c>
      <c r="D37" s="6" t="s">
        <v>140</v>
      </c>
      <c r="E37" s="6" t="s">
        <v>104</v>
      </c>
      <c r="F37" s="6" t="s">
        <v>105</v>
      </c>
      <c r="G37" s="6" t="s">
        <v>78</v>
      </c>
      <c r="H37" s="6"/>
      <c r="I37" s="6" t="s">
        <v>2506</v>
      </c>
      <c r="J37" s="6" t="s">
        <v>2507</v>
      </c>
      <c r="K37" s="6" t="s">
        <v>2508</v>
      </c>
      <c r="L37" s="23"/>
      <c r="M37" s="6" t="s">
        <v>33</v>
      </c>
      <c r="N37" s="6"/>
      <c r="O37" s="6"/>
      <c r="P37" s="24"/>
      <c r="Q37" s="6"/>
      <c r="R37" s="6"/>
      <c r="S37" s="6"/>
    </row>
    <row r="38" spans="1:19" x14ac:dyDescent="0.25">
      <c r="A38" s="22" t="s">
        <v>2509</v>
      </c>
      <c r="B38" s="6" t="s">
        <v>2478</v>
      </c>
      <c r="C38" s="6" t="s">
        <v>2510</v>
      </c>
      <c r="D38" s="6" t="s">
        <v>103</v>
      </c>
      <c r="E38" s="6" t="s">
        <v>113</v>
      </c>
      <c r="F38" s="6" t="s">
        <v>121</v>
      </c>
      <c r="G38" s="6" t="s">
        <v>80</v>
      </c>
      <c r="H38" s="6"/>
      <c r="I38" s="6" t="s">
        <v>2511</v>
      </c>
      <c r="J38" s="6" t="s">
        <v>2512</v>
      </c>
      <c r="K38" s="6" t="s">
        <v>2513</v>
      </c>
      <c r="L38" s="23"/>
      <c r="M38" s="6" t="s">
        <v>33</v>
      </c>
      <c r="N38" s="6"/>
      <c r="O38" s="6"/>
      <c r="P38" s="24"/>
      <c r="Q38" s="6"/>
      <c r="R38" s="6"/>
      <c r="S38" s="6"/>
    </row>
    <row r="39" spans="1:19" x14ac:dyDescent="0.25">
      <c r="A39" s="22" t="s">
        <v>2514</v>
      </c>
      <c r="B39" s="6" t="s">
        <v>2478</v>
      </c>
      <c r="C39" s="6" t="s">
        <v>2515</v>
      </c>
      <c r="D39" s="6" t="s">
        <v>120</v>
      </c>
      <c r="E39" s="6" t="s">
        <v>113</v>
      </c>
      <c r="F39" s="6" t="s">
        <v>105</v>
      </c>
      <c r="G39" s="6" t="s">
        <v>79</v>
      </c>
      <c r="H39" s="6"/>
      <c r="I39" s="6" t="s">
        <v>2516</v>
      </c>
      <c r="J39" s="6" t="s">
        <v>2517</v>
      </c>
      <c r="K39" s="6" t="s">
        <v>2518</v>
      </c>
      <c r="L39" s="23"/>
      <c r="M39" s="6" t="s">
        <v>33</v>
      </c>
      <c r="N39" s="6"/>
      <c r="O39" s="6"/>
      <c r="P39" s="24"/>
      <c r="Q39" s="6"/>
      <c r="R39" s="6"/>
      <c r="S39" s="6"/>
    </row>
    <row r="40" spans="1:19" x14ac:dyDescent="0.25">
      <c r="A40" s="22" t="s">
        <v>2519</v>
      </c>
      <c r="B40" s="6" t="s">
        <v>2478</v>
      </c>
      <c r="C40" s="6" t="s">
        <v>2520</v>
      </c>
      <c r="D40" s="6" t="s">
        <v>112</v>
      </c>
      <c r="E40" s="6" t="s">
        <v>145</v>
      </c>
      <c r="F40" s="6" t="s">
        <v>105</v>
      </c>
      <c r="G40" s="6" t="s">
        <v>80</v>
      </c>
      <c r="H40" s="6"/>
      <c r="I40" s="6" t="s">
        <v>2521</v>
      </c>
      <c r="J40" s="6" t="s">
        <v>2522</v>
      </c>
      <c r="K40" s="6" t="s">
        <v>2523</v>
      </c>
      <c r="L40" s="23"/>
      <c r="M40" s="6" t="s">
        <v>33</v>
      </c>
      <c r="N40" s="6"/>
      <c r="O40" s="6"/>
      <c r="P40" s="24"/>
      <c r="Q40" s="6"/>
      <c r="R40" s="6"/>
      <c r="S40" s="6"/>
    </row>
    <row r="41" spans="1:19" x14ac:dyDescent="0.25">
      <c r="A41" s="22" t="s">
        <v>2524</v>
      </c>
      <c r="B41" s="6" t="s">
        <v>2478</v>
      </c>
      <c r="C41" s="6" t="s">
        <v>2525</v>
      </c>
      <c r="D41" s="6" t="s">
        <v>120</v>
      </c>
      <c r="E41" s="6" t="s">
        <v>113</v>
      </c>
      <c r="F41" s="6" t="s">
        <v>127</v>
      </c>
      <c r="G41" s="6" t="s">
        <v>80</v>
      </c>
      <c r="H41" s="6"/>
      <c r="I41" s="6" t="s">
        <v>2526</v>
      </c>
      <c r="J41" s="6" t="s">
        <v>2527</v>
      </c>
      <c r="K41" s="6" t="s">
        <v>2528</v>
      </c>
      <c r="L41" s="23"/>
      <c r="M41" s="6" t="s">
        <v>33</v>
      </c>
      <c r="N41" s="6"/>
      <c r="O41" s="6"/>
      <c r="P41" s="24"/>
      <c r="Q41" s="6"/>
      <c r="R41" s="6"/>
      <c r="S41" s="6"/>
    </row>
    <row r="42" spans="1:19" x14ac:dyDescent="0.25">
      <c r="A42" s="22" t="s">
        <v>2529</v>
      </c>
      <c r="B42" s="6" t="s">
        <v>1568</v>
      </c>
      <c r="C42" s="6" t="s">
        <v>2530</v>
      </c>
      <c r="D42" s="6" t="s">
        <v>103</v>
      </c>
      <c r="E42" s="6" t="s">
        <v>145</v>
      </c>
      <c r="F42" s="6" t="s">
        <v>105</v>
      </c>
      <c r="G42" s="6" t="s">
        <v>78</v>
      </c>
      <c r="H42" s="6"/>
      <c r="I42" s="6" t="s">
        <v>2454</v>
      </c>
      <c r="J42" s="6" t="s">
        <v>2531</v>
      </c>
      <c r="K42" s="6" t="s">
        <v>2532</v>
      </c>
      <c r="L42" s="23" t="s">
        <v>2533</v>
      </c>
      <c r="M42" s="6" t="s">
        <v>33</v>
      </c>
      <c r="N42" s="6"/>
      <c r="O42" s="6"/>
      <c r="P42" s="24"/>
      <c r="Q42" s="6"/>
      <c r="R42" s="6"/>
      <c r="S42" s="6"/>
    </row>
    <row r="43" spans="1:19" x14ac:dyDescent="0.25">
      <c r="A43" s="22" t="s">
        <v>2534</v>
      </c>
      <c r="B43" s="6" t="s">
        <v>1568</v>
      </c>
      <c r="C43" s="6" t="s">
        <v>2535</v>
      </c>
      <c r="D43" s="6" t="s">
        <v>103</v>
      </c>
      <c r="E43" s="6" t="s">
        <v>113</v>
      </c>
      <c r="F43" s="6" t="s">
        <v>121</v>
      </c>
      <c r="G43" s="6" t="s">
        <v>80</v>
      </c>
      <c r="H43" s="6"/>
      <c r="I43" s="6" t="s">
        <v>2536</v>
      </c>
      <c r="J43" s="6" t="s">
        <v>2537</v>
      </c>
      <c r="K43" s="6" t="s">
        <v>2538</v>
      </c>
      <c r="L43" s="23" t="s">
        <v>2539</v>
      </c>
      <c r="M43" s="6" t="s">
        <v>33</v>
      </c>
      <c r="N43" s="6"/>
      <c r="O43" s="6"/>
      <c r="P43" s="24"/>
      <c r="Q43" s="6"/>
      <c r="R43" s="6"/>
      <c r="S43" s="6"/>
    </row>
    <row r="44" spans="1:19" x14ac:dyDescent="0.25">
      <c r="A44" s="22" t="s">
        <v>2540</v>
      </c>
      <c r="B44" s="6" t="s">
        <v>2541</v>
      </c>
      <c r="C44" s="6" t="s">
        <v>2542</v>
      </c>
      <c r="D44" s="6" t="s">
        <v>140</v>
      </c>
      <c r="E44" s="6" t="s">
        <v>104</v>
      </c>
      <c r="F44" s="6" t="s">
        <v>105</v>
      </c>
      <c r="G44" s="6" t="s">
        <v>80</v>
      </c>
      <c r="H44" s="6"/>
      <c r="I44" s="6" t="s">
        <v>2361</v>
      </c>
      <c r="J44" s="6" t="s">
        <v>2543</v>
      </c>
      <c r="K44" s="6" t="s">
        <v>2544</v>
      </c>
      <c r="L44" s="23"/>
      <c r="M44" s="6" t="s">
        <v>33</v>
      </c>
      <c r="N44" s="6"/>
      <c r="O44" s="6"/>
      <c r="P44" s="24"/>
      <c r="Q44" s="6"/>
      <c r="R44" s="6"/>
      <c r="S44" s="6"/>
    </row>
    <row r="45" spans="1:19" x14ac:dyDescent="0.25">
      <c r="A45" s="22" t="s">
        <v>2545</v>
      </c>
      <c r="B45" s="6" t="s">
        <v>2546</v>
      </c>
      <c r="C45" s="6" t="s">
        <v>2547</v>
      </c>
      <c r="D45" s="6" t="s">
        <v>140</v>
      </c>
      <c r="E45" s="6" t="s">
        <v>113</v>
      </c>
      <c r="F45" s="6" t="s">
        <v>121</v>
      </c>
      <c r="G45" s="6" t="s">
        <v>80</v>
      </c>
      <c r="H45" s="6"/>
      <c r="I45" s="6" t="s">
        <v>2361</v>
      </c>
      <c r="J45" s="6" t="s">
        <v>2548</v>
      </c>
      <c r="K45" s="6" t="s">
        <v>2549</v>
      </c>
      <c r="L45" s="23" t="s">
        <v>2550</v>
      </c>
      <c r="M45" s="6" t="s">
        <v>33</v>
      </c>
      <c r="N45" s="6"/>
      <c r="O45" s="6"/>
      <c r="P45" s="24"/>
      <c r="Q45" s="6"/>
      <c r="R45" s="6"/>
      <c r="S45" s="6"/>
    </row>
    <row r="46" spans="1:19" x14ac:dyDescent="0.25">
      <c r="A46" s="22" t="s">
        <v>2551</v>
      </c>
      <c r="B46" s="6" t="s">
        <v>2552</v>
      </c>
      <c r="C46" s="6" t="s">
        <v>2553</v>
      </c>
      <c r="D46" s="6" t="s">
        <v>103</v>
      </c>
      <c r="E46" s="6" t="s">
        <v>113</v>
      </c>
      <c r="F46" s="6" t="s">
        <v>121</v>
      </c>
      <c r="G46" s="6" t="s">
        <v>80</v>
      </c>
      <c r="H46" s="6"/>
      <c r="I46" s="6" t="s">
        <v>2554</v>
      </c>
      <c r="J46" s="6" t="s">
        <v>2555</v>
      </c>
      <c r="K46" s="6" t="s">
        <v>2556</v>
      </c>
      <c r="L46" s="23"/>
      <c r="M46" s="6" t="s">
        <v>33</v>
      </c>
      <c r="N46" s="6"/>
      <c r="O46" s="6"/>
      <c r="P46" s="24"/>
      <c r="Q46" s="6"/>
      <c r="R46" s="6"/>
      <c r="S46" s="6"/>
    </row>
    <row r="47" spans="1:19" x14ac:dyDescent="0.25">
      <c r="A47" s="22" t="s">
        <v>2557</v>
      </c>
      <c r="B47" s="6" t="s">
        <v>2558</v>
      </c>
      <c r="C47" s="6" t="s">
        <v>2559</v>
      </c>
      <c r="D47" s="6" t="s">
        <v>140</v>
      </c>
      <c r="E47" s="6" t="s">
        <v>145</v>
      </c>
      <c r="F47" s="6" t="s">
        <v>105</v>
      </c>
      <c r="G47" s="6" t="s">
        <v>80</v>
      </c>
      <c r="H47" s="6"/>
      <c r="I47" s="6" t="s">
        <v>2361</v>
      </c>
      <c r="J47" s="6" t="s">
        <v>2560</v>
      </c>
      <c r="K47" s="6" t="s">
        <v>2561</v>
      </c>
      <c r="L47" s="23"/>
      <c r="M47" s="6" t="s">
        <v>33</v>
      </c>
      <c r="N47" s="6"/>
      <c r="O47" s="6"/>
      <c r="P47" s="24"/>
      <c r="Q47" s="6"/>
      <c r="R47" s="6"/>
      <c r="S47" s="6"/>
    </row>
    <row r="48" spans="1:19" x14ac:dyDescent="0.25">
      <c r="A48" s="22" t="s">
        <v>2562</v>
      </c>
      <c r="B48" s="6" t="s">
        <v>2563</v>
      </c>
      <c r="C48" s="6" t="s">
        <v>2564</v>
      </c>
      <c r="D48" s="6" t="s">
        <v>103</v>
      </c>
      <c r="E48" s="6" t="s">
        <v>145</v>
      </c>
      <c r="F48" s="6" t="s">
        <v>105</v>
      </c>
      <c r="G48" s="6" t="s">
        <v>80</v>
      </c>
      <c r="H48" s="6"/>
      <c r="I48" s="6" t="s">
        <v>2565</v>
      </c>
      <c r="J48" s="6" t="s">
        <v>2566</v>
      </c>
      <c r="K48" s="6" t="s">
        <v>2567</v>
      </c>
      <c r="L48" s="23"/>
      <c r="M48" s="6" t="s">
        <v>33</v>
      </c>
      <c r="N48" s="6"/>
      <c r="O48" s="6"/>
      <c r="P48" s="24"/>
      <c r="Q48" s="6"/>
      <c r="R48" s="6"/>
      <c r="S48" s="6"/>
    </row>
    <row r="49" spans="1:19" x14ac:dyDescent="0.25">
      <c r="A49" s="22" t="s">
        <v>2568</v>
      </c>
      <c r="B49" s="6" t="s">
        <v>2569</v>
      </c>
      <c r="C49" s="6" t="s">
        <v>2570</v>
      </c>
      <c r="D49" s="6" t="s">
        <v>103</v>
      </c>
      <c r="E49" s="6" t="s">
        <v>113</v>
      </c>
      <c r="F49" s="6" t="s">
        <v>121</v>
      </c>
      <c r="G49" s="6" t="s">
        <v>80</v>
      </c>
      <c r="H49" s="6"/>
      <c r="I49" s="6" t="s">
        <v>2361</v>
      </c>
      <c r="J49" s="6" t="s">
        <v>2571</v>
      </c>
      <c r="K49" s="6" t="s">
        <v>2572</v>
      </c>
      <c r="L49" s="23"/>
      <c r="M49" s="6" t="s">
        <v>33</v>
      </c>
      <c r="N49" s="6"/>
      <c r="O49" s="6"/>
      <c r="P49" s="24"/>
      <c r="Q49" s="6"/>
      <c r="R49" s="6"/>
      <c r="S49" s="6"/>
    </row>
    <row r="50" spans="1:19" x14ac:dyDescent="0.25">
      <c r="A50" s="22" t="s">
        <v>2573</v>
      </c>
      <c r="B50" s="6" t="s">
        <v>2569</v>
      </c>
      <c r="C50" s="6" t="s">
        <v>2574</v>
      </c>
      <c r="D50" s="6" t="s">
        <v>140</v>
      </c>
      <c r="E50" s="6" t="s">
        <v>104</v>
      </c>
      <c r="F50" s="6" t="s">
        <v>105</v>
      </c>
      <c r="G50" s="6" t="s">
        <v>80</v>
      </c>
      <c r="H50" s="6"/>
      <c r="I50" s="6" t="s">
        <v>2361</v>
      </c>
      <c r="J50" s="6" t="s">
        <v>2575</v>
      </c>
      <c r="K50" s="6" t="s">
        <v>2576</v>
      </c>
      <c r="L50" s="23"/>
      <c r="M50" s="6" t="s">
        <v>33</v>
      </c>
      <c r="N50" s="6"/>
      <c r="O50" s="6"/>
      <c r="P50" s="24"/>
      <c r="Q50" s="6"/>
      <c r="R50" s="6"/>
      <c r="S50" s="6"/>
    </row>
    <row r="51" spans="1:19" x14ac:dyDescent="0.25">
      <c r="A51" s="22" t="s">
        <v>2577</v>
      </c>
      <c r="B51" s="6" t="s">
        <v>2569</v>
      </c>
      <c r="C51" s="6" t="s">
        <v>2578</v>
      </c>
      <c r="D51" s="6" t="s">
        <v>103</v>
      </c>
      <c r="E51" s="6" t="s">
        <v>113</v>
      </c>
      <c r="F51" s="6" t="s">
        <v>105</v>
      </c>
      <c r="G51" s="6" t="s">
        <v>80</v>
      </c>
      <c r="H51" s="6"/>
      <c r="I51" s="6" t="s">
        <v>2361</v>
      </c>
      <c r="J51" s="6" t="s">
        <v>2579</v>
      </c>
      <c r="K51" s="6" t="s">
        <v>2580</v>
      </c>
      <c r="L51" s="23"/>
      <c r="M51" s="6" t="s">
        <v>33</v>
      </c>
      <c r="N51" s="6"/>
      <c r="O51" s="6"/>
      <c r="P51" s="24"/>
      <c r="Q51" s="6"/>
      <c r="R51" s="6"/>
      <c r="S51" s="6"/>
    </row>
    <row r="52" spans="1:19" x14ac:dyDescent="0.25">
      <c r="A52" s="22" t="s">
        <v>2581</v>
      </c>
      <c r="B52" s="6" t="s">
        <v>2569</v>
      </c>
      <c r="C52" s="6" t="s">
        <v>2582</v>
      </c>
      <c r="D52" s="6" t="s">
        <v>112</v>
      </c>
      <c r="E52" s="6" t="s">
        <v>113</v>
      </c>
      <c r="F52" s="6" t="s">
        <v>121</v>
      </c>
      <c r="G52" s="6" t="s">
        <v>80</v>
      </c>
      <c r="H52" s="6"/>
      <c r="I52" s="6" t="s">
        <v>2583</v>
      </c>
      <c r="J52" s="6" t="s">
        <v>2584</v>
      </c>
      <c r="K52" s="6" t="s">
        <v>2585</v>
      </c>
      <c r="L52" s="23" t="s">
        <v>2586</v>
      </c>
      <c r="M52" s="6" t="s">
        <v>33</v>
      </c>
      <c r="N52" s="6"/>
      <c r="O52" s="6"/>
      <c r="P52" s="24"/>
      <c r="Q52" s="6"/>
      <c r="R52" s="6"/>
      <c r="S52" s="6"/>
    </row>
    <row r="53" spans="1:19" x14ac:dyDescent="0.25">
      <c r="A53" s="22" t="s">
        <v>2587</v>
      </c>
      <c r="B53" s="6" t="s">
        <v>2588</v>
      </c>
      <c r="C53" s="6" t="s">
        <v>2589</v>
      </c>
      <c r="D53" s="6" t="s">
        <v>103</v>
      </c>
      <c r="E53" s="6" t="s">
        <v>113</v>
      </c>
      <c r="F53" s="6" t="s">
        <v>105</v>
      </c>
      <c r="G53" s="6" t="s">
        <v>78</v>
      </c>
      <c r="H53" s="6"/>
      <c r="I53" s="6" t="s">
        <v>2590</v>
      </c>
      <c r="J53" s="6" t="s">
        <v>2591</v>
      </c>
      <c r="K53" s="6" t="s">
        <v>2592</v>
      </c>
      <c r="L53" s="23"/>
      <c r="M53" s="6" t="s">
        <v>33</v>
      </c>
      <c r="N53" s="6"/>
      <c r="O53" s="6"/>
      <c r="P53" s="24"/>
      <c r="Q53" s="6"/>
      <c r="R53" s="6"/>
      <c r="S53" s="6"/>
    </row>
    <row r="54" spans="1:19" x14ac:dyDescent="0.25">
      <c r="A54" s="22" t="s">
        <v>2593</v>
      </c>
      <c r="B54" s="6" t="s">
        <v>2588</v>
      </c>
      <c r="C54" s="6" t="s">
        <v>1911</v>
      </c>
      <c r="D54" s="6" t="s">
        <v>103</v>
      </c>
      <c r="E54" s="6" t="s">
        <v>113</v>
      </c>
      <c r="F54" s="6" t="s">
        <v>105</v>
      </c>
      <c r="G54" s="6" t="s">
        <v>78</v>
      </c>
      <c r="H54" s="6"/>
      <c r="I54" s="6" t="s">
        <v>2594</v>
      </c>
      <c r="J54" s="6" t="s">
        <v>2595</v>
      </c>
      <c r="K54" s="6" t="s">
        <v>2596</v>
      </c>
      <c r="L54" s="23"/>
      <c r="M54" s="6" t="s">
        <v>33</v>
      </c>
      <c r="N54" s="6"/>
      <c r="O54" s="6"/>
      <c r="P54" s="24"/>
      <c r="Q54" s="6"/>
      <c r="R54" s="6"/>
      <c r="S54" s="6"/>
    </row>
    <row r="55" spans="1:19" x14ac:dyDescent="0.25">
      <c r="A55" s="22" t="s">
        <v>2597</v>
      </c>
      <c r="B55" s="6" t="s">
        <v>2588</v>
      </c>
      <c r="C55" s="6" t="s">
        <v>2598</v>
      </c>
      <c r="D55" s="6" t="s">
        <v>209</v>
      </c>
      <c r="E55" s="6" t="s">
        <v>113</v>
      </c>
      <c r="F55" s="6" t="s">
        <v>105</v>
      </c>
      <c r="G55" s="6" t="s">
        <v>80</v>
      </c>
      <c r="H55" s="6"/>
      <c r="I55" s="6" t="s">
        <v>2599</v>
      </c>
      <c r="J55" s="6" t="s">
        <v>2600</v>
      </c>
      <c r="K55" s="6" t="s">
        <v>2601</v>
      </c>
      <c r="L55" s="23"/>
      <c r="M55" s="6" t="s">
        <v>33</v>
      </c>
      <c r="N55" s="6"/>
      <c r="O55" s="6"/>
      <c r="P55" s="24"/>
      <c r="Q55" s="6"/>
      <c r="R55" s="6"/>
      <c r="S55" s="6"/>
    </row>
    <row r="56" spans="1:19" x14ac:dyDescent="0.25">
      <c r="A56" s="22" t="s">
        <v>2602</v>
      </c>
      <c r="B56" s="6" t="s">
        <v>2588</v>
      </c>
      <c r="C56" s="6" t="s">
        <v>2603</v>
      </c>
      <c r="D56" s="6" t="s">
        <v>103</v>
      </c>
      <c r="E56" s="6" t="s">
        <v>113</v>
      </c>
      <c r="F56" s="6" t="s">
        <v>105</v>
      </c>
      <c r="G56" s="6" t="s">
        <v>78</v>
      </c>
      <c r="H56" s="6"/>
      <c r="I56" s="6" t="s">
        <v>2604</v>
      </c>
      <c r="J56" s="6" t="s">
        <v>2605</v>
      </c>
      <c r="K56" s="6" t="s">
        <v>2606</v>
      </c>
      <c r="L56" s="23"/>
      <c r="M56" s="6" t="s">
        <v>33</v>
      </c>
      <c r="N56" s="6"/>
      <c r="O56" s="6"/>
      <c r="P56" s="24"/>
      <c r="Q56" s="6"/>
      <c r="R56" s="6"/>
      <c r="S56" s="6"/>
    </row>
    <row r="57" spans="1:19" x14ac:dyDescent="0.25">
      <c r="A57" s="22" t="s">
        <v>2607</v>
      </c>
      <c r="B57" s="6" t="s">
        <v>2608</v>
      </c>
      <c r="C57" s="6" t="s">
        <v>2609</v>
      </c>
      <c r="D57" s="6" t="s">
        <v>103</v>
      </c>
      <c r="E57" s="6" t="s">
        <v>113</v>
      </c>
      <c r="F57" s="6" t="s">
        <v>105</v>
      </c>
      <c r="G57" s="6" t="s">
        <v>78</v>
      </c>
      <c r="H57" s="6"/>
      <c r="I57" s="6" t="s">
        <v>2454</v>
      </c>
      <c r="J57" s="6" t="s">
        <v>2610</v>
      </c>
      <c r="K57" s="6" t="s">
        <v>2611</v>
      </c>
      <c r="L57" s="23"/>
      <c r="M57" s="6" t="s">
        <v>33</v>
      </c>
      <c r="N57" s="6"/>
      <c r="O57" s="6"/>
      <c r="P57" s="24"/>
      <c r="Q57" s="6"/>
      <c r="R57" s="6"/>
      <c r="S57" s="6"/>
    </row>
    <row r="58" spans="1:19" x14ac:dyDescent="0.25">
      <c r="A58" s="22" t="s">
        <v>2612</v>
      </c>
      <c r="B58" s="6" t="s">
        <v>1951</v>
      </c>
      <c r="C58" s="6" t="s">
        <v>2613</v>
      </c>
      <c r="D58" s="6" t="s">
        <v>103</v>
      </c>
      <c r="E58" s="6" t="s">
        <v>113</v>
      </c>
      <c r="F58" s="6" t="s">
        <v>105</v>
      </c>
      <c r="G58" s="6" t="s">
        <v>78</v>
      </c>
      <c r="H58" s="6"/>
      <c r="I58" s="6" t="s">
        <v>2614</v>
      </c>
      <c r="J58" s="6" t="s">
        <v>2615</v>
      </c>
      <c r="K58" s="6" t="s">
        <v>2616</v>
      </c>
      <c r="L58" s="23" t="s">
        <v>2617</v>
      </c>
      <c r="M58" s="6" t="s">
        <v>33</v>
      </c>
      <c r="N58" s="6"/>
      <c r="O58" s="6"/>
      <c r="P58" s="24"/>
      <c r="Q58" s="6"/>
      <c r="R58" s="6"/>
      <c r="S58" s="6"/>
    </row>
    <row r="59" spans="1:19" x14ac:dyDescent="0.25">
      <c r="A59" s="22" t="s">
        <v>2618</v>
      </c>
      <c r="B59" s="6" t="s">
        <v>2588</v>
      </c>
      <c r="C59" s="6" t="s">
        <v>2619</v>
      </c>
      <c r="D59" s="6" t="s">
        <v>140</v>
      </c>
      <c r="E59" s="6" t="s">
        <v>104</v>
      </c>
      <c r="F59" s="6" t="s">
        <v>105</v>
      </c>
      <c r="G59" s="6" t="s">
        <v>78</v>
      </c>
      <c r="H59" s="6"/>
      <c r="I59" s="6" t="s">
        <v>2432</v>
      </c>
      <c r="J59" s="6" t="s">
        <v>2620</v>
      </c>
      <c r="K59" s="6" t="s">
        <v>2621</v>
      </c>
      <c r="L59" s="23"/>
      <c r="M59" s="6" t="s">
        <v>33</v>
      </c>
      <c r="N59" s="6"/>
      <c r="O59" s="6"/>
      <c r="P59" s="24"/>
      <c r="Q59" s="6"/>
      <c r="R59" s="6"/>
      <c r="S59" s="6"/>
    </row>
    <row r="60" spans="1:19" x14ac:dyDescent="0.25">
      <c r="A60" s="22" t="s">
        <v>2622</v>
      </c>
      <c r="B60" s="6" t="s">
        <v>2623</v>
      </c>
      <c r="C60" s="6" t="s">
        <v>2624</v>
      </c>
      <c r="D60" s="6" t="s">
        <v>103</v>
      </c>
      <c r="E60" s="6" t="s">
        <v>113</v>
      </c>
      <c r="F60" s="6" t="s">
        <v>105</v>
      </c>
      <c r="G60" s="6" t="s">
        <v>80</v>
      </c>
      <c r="H60" s="6"/>
      <c r="I60" s="6" t="s">
        <v>2625</v>
      </c>
      <c r="J60" s="6" t="s">
        <v>2626</v>
      </c>
      <c r="K60" s="6" t="s">
        <v>2627</v>
      </c>
      <c r="L60" s="23"/>
      <c r="M60" s="6" t="s">
        <v>33</v>
      </c>
      <c r="N60" s="6"/>
      <c r="O60" s="6"/>
      <c r="P60" s="24"/>
      <c r="Q60" s="6"/>
      <c r="R60" s="6"/>
      <c r="S60" s="6"/>
    </row>
    <row r="61" spans="1:19" x14ac:dyDescent="0.25">
      <c r="A61" s="22" t="s">
        <v>2628</v>
      </c>
      <c r="B61" s="6" t="s">
        <v>2003</v>
      </c>
      <c r="C61" s="6" t="s">
        <v>2629</v>
      </c>
      <c r="D61" s="6" t="s">
        <v>103</v>
      </c>
      <c r="E61" s="6" t="s">
        <v>104</v>
      </c>
      <c r="F61" s="6" t="s">
        <v>121</v>
      </c>
      <c r="G61" s="6" t="s">
        <v>80</v>
      </c>
      <c r="H61" s="6"/>
      <c r="I61" s="6" t="s">
        <v>2630</v>
      </c>
      <c r="J61" s="6" t="s">
        <v>2631</v>
      </c>
      <c r="K61" s="6" t="s">
        <v>2632</v>
      </c>
      <c r="L61" s="23" t="s">
        <v>2633</v>
      </c>
      <c r="M61" s="6" t="s">
        <v>33</v>
      </c>
      <c r="N61" s="6"/>
      <c r="O61" s="6"/>
      <c r="P61" s="24"/>
      <c r="Q61" s="6"/>
      <c r="R61" s="6"/>
      <c r="S61" s="6"/>
    </row>
    <row r="62" spans="1:19" x14ac:dyDescent="0.25">
      <c r="A62" s="22" t="s">
        <v>2634</v>
      </c>
      <c r="B62" s="6" t="s">
        <v>2003</v>
      </c>
      <c r="C62" s="6" t="s">
        <v>2635</v>
      </c>
      <c r="D62" s="6" t="s">
        <v>103</v>
      </c>
      <c r="E62" s="6" t="s">
        <v>113</v>
      </c>
      <c r="F62" s="6" t="s">
        <v>121</v>
      </c>
      <c r="G62" s="6" t="s">
        <v>80</v>
      </c>
      <c r="H62" s="6"/>
      <c r="I62" s="6" t="s">
        <v>2636</v>
      </c>
      <c r="J62" s="6" t="s">
        <v>2637</v>
      </c>
      <c r="K62" s="6" t="s">
        <v>2638</v>
      </c>
      <c r="L62" s="23"/>
      <c r="M62" s="6" t="s">
        <v>33</v>
      </c>
      <c r="N62" s="6"/>
      <c r="O62" s="6"/>
      <c r="P62" s="24"/>
      <c r="Q62" s="6"/>
      <c r="R62" s="6"/>
      <c r="S62" s="6"/>
    </row>
    <row r="63" spans="1:19" x14ac:dyDescent="0.25">
      <c r="A63" s="22" t="s">
        <v>2639</v>
      </c>
      <c r="B63" s="6" t="s">
        <v>2003</v>
      </c>
      <c r="C63" s="6" t="s">
        <v>2640</v>
      </c>
      <c r="D63" s="6" t="s">
        <v>103</v>
      </c>
      <c r="E63" s="6" t="s">
        <v>104</v>
      </c>
      <c r="F63" s="6" t="s">
        <v>105</v>
      </c>
      <c r="G63" s="6" t="s">
        <v>80</v>
      </c>
      <c r="H63" s="6"/>
      <c r="I63" s="6" t="s">
        <v>2641</v>
      </c>
      <c r="J63" s="6" t="s">
        <v>2642</v>
      </c>
      <c r="K63" s="6" t="s">
        <v>2643</v>
      </c>
      <c r="L63" s="23"/>
      <c r="M63" s="6" t="s">
        <v>33</v>
      </c>
      <c r="N63" s="6"/>
      <c r="O63" s="6"/>
      <c r="P63" s="24"/>
      <c r="Q63" s="6"/>
      <c r="R63" s="6"/>
      <c r="S63" s="6"/>
    </row>
    <row r="64" spans="1:19" x14ac:dyDescent="0.25">
      <c r="A64" s="22" t="s">
        <v>2644</v>
      </c>
      <c r="B64" s="6" t="s">
        <v>2003</v>
      </c>
      <c r="C64" s="6" t="s">
        <v>2645</v>
      </c>
      <c r="D64" s="6" t="s">
        <v>209</v>
      </c>
      <c r="E64" s="6" t="s">
        <v>104</v>
      </c>
      <c r="F64" s="6" t="s">
        <v>105</v>
      </c>
      <c r="G64" s="6" t="s">
        <v>80</v>
      </c>
      <c r="H64" s="6"/>
      <c r="I64" s="6" t="s">
        <v>2646</v>
      </c>
      <c r="J64" s="6" t="s">
        <v>2647</v>
      </c>
      <c r="K64" s="6" t="s">
        <v>2648</v>
      </c>
      <c r="L64" s="23"/>
      <c r="M64" s="6" t="s">
        <v>33</v>
      </c>
      <c r="N64" s="6"/>
      <c r="O64" s="6"/>
      <c r="P64" s="24"/>
      <c r="Q64" s="6"/>
      <c r="R64" s="6"/>
      <c r="S64" s="6"/>
    </row>
    <row r="65" spans="1:19" x14ac:dyDescent="0.25">
      <c r="A65" s="22" t="s">
        <v>2649</v>
      </c>
      <c r="B65" s="6" t="s">
        <v>2003</v>
      </c>
      <c r="C65" s="6" t="s">
        <v>2650</v>
      </c>
      <c r="D65" s="6" t="s">
        <v>112</v>
      </c>
      <c r="E65" s="6" t="s">
        <v>113</v>
      </c>
      <c r="F65" s="6" t="s">
        <v>105</v>
      </c>
      <c r="G65" s="6" t="s">
        <v>80</v>
      </c>
      <c r="H65" s="6"/>
      <c r="I65" s="6" t="s">
        <v>2651</v>
      </c>
      <c r="J65" s="6" t="s">
        <v>2652</v>
      </c>
      <c r="K65" s="6" t="s">
        <v>2653</v>
      </c>
      <c r="L65" s="23" t="s">
        <v>2654</v>
      </c>
      <c r="M65" s="6" t="s">
        <v>33</v>
      </c>
      <c r="N65" s="6"/>
      <c r="O65" s="6"/>
      <c r="P65" s="24"/>
      <c r="Q65" s="6"/>
      <c r="R65" s="6"/>
      <c r="S65" s="6"/>
    </row>
    <row r="66" spans="1:19" x14ac:dyDescent="0.25">
      <c r="A66" s="22" t="s">
        <v>2655</v>
      </c>
      <c r="B66" s="6" t="s">
        <v>2003</v>
      </c>
      <c r="C66" s="6" t="s">
        <v>2656</v>
      </c>
      <c r="D66" s="6" t="s">
        <v>103</v>
      </c>
      <c r="E66" s="6" t="s">
        <v>104</v>
      </c>
      <c r="F66" s="6" t="s">
        <v>105</v>
      </c>
      <c r="G66" s="6" t="s">
        <v>80</v>
      </c>
      <c r="H66" s="6"/>
      <c r="I66" s="6" t="s">
        <v>2657</v>
      </c>
      <c r="J66" s="6" t="s">
        <v>2658</v>
      </c>
      <c r="K66" s="6" t="s">
        <v>2659</v>
      </c>
      <c r="L66" s="23" t="s">
        <v>2660</v>
      </c>
      <c r="M66" s="6" t="s">
        <v>33</v>
      </c>
      <c r="N66" s="6"/>
      <c r="O66" s="6"/>
      <c r="P66" s="24"/>
      <c r="Q66" s="6"/>
      <c r="R66" s="6"/>
      <c r="S66" s="6"/>
    </row>
    <row r="67" spans="1:19" x14ac:dyDescent="0.25">
      <c r="A67" s="22" t="s">
        <v>2661</v>
      </c>
      <c r="B67" s="6" t="s">
        <v>2003</v>
      </c>
      <c r="C67" s="6" t="s">
        <v>2662</v>
      </c>
      <c r="D67" s="6" t="s">
        <v>112</v>
      </c>
      <c r="E67" s="6" t="s">
        <v>113</v>
      </c>
      <c r="F67" s="6" t="s">
        <v>105</v>
      </c>
      <c r="G67" s="6" t="s">
        <v>80</v>
      </c>
      <c r="H67" s="6"/>
      <c r="I67" s="6" t="s">
        <v>2663</v>
      </c>
      <c r="J67" s="6" t="s">
        <v>2664</v>
      </c>
      <c r="K67" s="6" t="s">
        <v>2665</v>
      </c>
      <c r="L67" s="23" t="s">
        <v>2666</v>
      </c>
      <c r="M67" s="6" t="s">
        <v>33</v>
      </c>
      <c r="N67" s="6"/>
      <c r="O67" s="6"/>
      <c r="P67" s="24"/>
      <c r="Q67" s="6"/>
      <c r="R67" s="6"/>
      <c r="S67" s="6"/>
    </row>
    <row r="68" spans="1:19" x14ac:dyDescent="0.25">
      <c r="A68" s="22" t="s">
        <v>2667</v>
      </c>
      <c r="B68" s="6" t="s">
        <v>2038</v>
      </c>
      <c r="C68" s="6" t="s">
        <v>2668</v>
      </c>
      <c r="D68" s="6" t="s">
        <v>103</v>
      </c>
      <c r="E68" s="6" t="s">
        <v>104</v>
      </c>
      <c r="F68" s="6" t="s">
        <v>121</v>
      </c>
      <c r="G68" s="6" t="s">
        <v>80</v>
      </c>
      <c r="H68" s="6"/>
      <c r="I68" s="6" t="s">
        <v>2669</v>
      </c>
      <c r="J68" s="6" t="s">
        <v>2670</v>
      </c>
      <c r="K68" s="6" t="s">
        <v>2671</v>
      </c>
      <c r="L68" s="23"/>
      <c r="M68" s="6" t="s">
        <v>33</v>
      </c>
      <c r="N68" s="6"/>
      <c r="O68" s="6"/>
      <c r="P68" s="24"/>
      <c r="Q68" s="6"/>
      <c r="R68" s="6"/>
      <c r="S68" s="6"/>
    </row>
    <row r="69" spans="1:19" x14ac:dyDescent="0.25">
      <c r="A69" s="22" t="s">
        <v>2672</v>
      </c>
      <c r="B69" s="6" t="s">
        <v>2038</v>
      </c>
      <c r="C69" s="6" t="s">
        <v>2673</v>
      </c>
      <c r="D69" s="6" t="s">
        <v>103</v>
      </c>
      <c r="E69" s="6" t="s">
        <v>104</v>
      </c>
      <c r="F69" s="6" t="s">
        <v>105</v>
      </c>
      <c r="G69" s="6" t="s">
        <v>80</v>
      </c>
      <c r="H69" s="6"/>
      <c r="I69" s="6" t="s">
        <v>2674</v>
      </c>
      <c r="J69" s="6" t="s">
        <v>2675</v>
      </c>
      <c r="K69" s="6" t="s">
        <v>2676</v>
      </c>
      <c r="L69" s="23"/>
      <c r="M69" s="6" t="s">
        <v>33</v>
      </c>
      <c r="N69" s="6"/>
      <c r="O69" s="6"/>
      <c r="P69" s="24"/>
      <c r="Q69" s="6"/>
      <c r="R69" s="6"/>
      <c r="S69" s="6"/>
    </row>
    <row r="70" spans="1:19" x14ac:dyDescent="0.25">
      <c r="A70" s="22" t="s">
        <v>2677</v>
      </c>
      <c r="B70" s="6" t="s">
        <v>2038</v>
      </c>
      <c r="C70" s="6" t="s">
        <v>2678</v>
      </c>
      <c r="D70" s="6" t="s">
        <v>209</v>
      </c>
      <c r="E70" s="6" t="s">
        <v>104</v>
      </c>
      <c r="F70" s="6" t="s">
        <v>105</v>
      </c>
      <c r="G70" s="6" t="s">
        <v>80</v>
      </c>
      <c r="H70" s="6"/>
      <c r="I70" s="6" t="s">
        <v>2679</v>
      </c>
      <c r="J70" s="6" t="s">
        <v>2680</v>
      </c>
      <c r="K70" s="6" t="s">
        <v>2681</v>
      </c>
      <c r="L70" s="23"/>
      <c r="M70" s="6" t="s">
        <v>33</v>
      </c>
      <c r="N70" s="6"/>
      <c r="O70" s="6"/>
      <c r="P70" s="24"/>
      <c r="Q70" s="6"/>
      <c r="R70" s="6"/>
      <c r="S70" s="6"/>
    </row>
    <row r="71" spans="1:19" x14ac:dyDescent="0.25">
      <c r="A71" s="22" t="s">
        <v>2682</v>
      </c>
      <c r="B71" s="6" t="s">
        <v>2038</v>
      </c>
      <c r="C71" s="6" t="s">
        <v>2048</v>
      </c>
      <c r="D71" s="6" t="s">
        <v>112</v>
      </c>
      <c r="E71" s="6" t="s">
        <v>104</v>
      </c>
      <c r="F71" s="6" t="s">
        <v>105</v>
      </c>
      <c r="G71" s="6" t="s">
        <v>80</v>
      </c>
      <c r="H71" s="6"/>
      <c r="I71" s="6" t="s">
        <v>2683</v>
      </c>
      <c r="J71" s="6" t="s">
        <v>2684</v>
      </c>
      <c r="K71" s="6" t="s">
        <v>2685</v>
      </c>
      <c r="L71" s="23"/>
      <c r="M71" s="6" t="s">
        <v>33</v>
      </c>
      <c r="N71" s="6"/>
      <c r="O71" s="6"/>
      <c r="P71" s="24"/>
      <c r="Q71" s="6"/>
      <c r="R71" s="6"/>
      <c r="S71" s="6"/>
    </row>
    <row r="72" spans="1:19" x14ac:dyDescent="0.25">
      <c r="A72" s="22" t="s">
        <v>2686</v>
      </c>
      <c r="B72" s="6" t="s">
        <v>2038</v>
      </c>
      <c r="C72" s="6" t="s">
        <v>2687</v>
      </c>
      <c r="D72" s="6" t="s">
        <v>103</v>
      </c>
      <c r="E72" s="6" t="s">
        <v>113</v>
      </c>
      <c r="F72" s="6" t="s">
        <v>105</v>
      </c>
      <c r="G72" s="6" t="s">
        <v>80</v>
      </c>
      <c r="H72" s="6"/>
      <c r="I72" s="6" t="s">
        <v>2361</v>
      </c>
      <c r="J72" s="6" t="s">
        <v>2688</v>
      </c>
      <c r="K72" s="6" t="s">
        <v>2689</v>
      </c>
      <c r="L72" s="23"/>
      <c r="M72" s="6" t="s">
        <v>33</v>
      </c>
      <c r="N72" s="6"/>
      <c r="O72" s="6"/>
      <c r="P72" s="24"/>
      <c r="Q72" s="6"/>
      <c r="R72" s="6"/>
      <c r="S72" s="6"/>
    </row>
    <row r="73" spans="1:19" x14ac:dyDescent="0.25">
      <c r="A73" s="22" t="s">
        <v>2690</v>
      </c>
      <c r="B73" s="6" t="s">
        <v>2003</v>
      </c>
      <c r="C73" s="6" t="s">
        <v>2691</v>
      </c>
      <c r="D73" s="6" t="s">
        <v>140</v>
      </c>
      <c r="E73" s="6" t="s">
        <v>145</v>
      </c>
      <c r="F73" s="6" t="s">
        <v>105</v>
      </c>
      <c r="G73" s="6" t="s">
        <v>80</v>
      </c>
      <c r="H73" s="6"/>
      <c r="I73" s="6" t="s">
        <v>2361</v>
      </c>
      <c r="J73" s="6" t="s">
        <v>2692</v>
      </c>
      <c r="K73" s="6" t="s">
        <v>2693</v>
      </c>
      <c r="L73" s="23" t="s">
        <v>2694</v>
      </c>
      <c r="M73" s="6" t="s">
        <v>33</v>
      </c>
      <c r="N73" s="6"/>
      <c r="O73" s="6"/>
      <c r="P73" s="24"/>
      <c r="Q73" s="6"/>
      <c r="R73" s="6"/>
      <c r="S73" s="6"/>
    </row>
    <row r="74" spans="1:19" x14ac:dyDescent="0.25">
      <c r="A74" s="22" t="s">
        <v>2695</v>
      </c>
      <c r="B74" s="6" t="s">
        <v>2177</v>
      </c>
      <c r="C74" s="6" t="s">
        <v>2696</v>
      </c>
      <c r="D74" s="6" t="s">
        <v>103</v>
      </c>
      <c r="E74" s="6" t="s">
        <v>113</v>
      </c>
      <c r="F74" s="6" t="s">
        <v>105</v>
      </c>
      <c r="G74" s="6" t="s">
        <v>80</v>
      </c>
      <c r="H74" s="6"/>
      <c r="I74" s="6" t="s">
        <v>2697</v>
      </c>
      <c r="J74" s="6" t="s">
        <v>2698</v>
      </c>
      <c r="K74" s="6" t="s">
        <v>2699</v>
      </c>
      <c r="L74" s="23"/>
      <c r="M74" s="6" t="s">
        <v>33</v>
      </c>
      <c r="N74" s="6"/>
      <c r="O74" s="6"/>
      <c r="P74" s="24"/>
      <c r="Q74" s="6"/>
      <c r="R74" s="6"/>
      <c r="S74" s="6"/>
    </row>
    <row r="75" spans="1:19" x14ac:dyDescent="0.25">
      <c r="A75" s="22" t="s">
        <v>2700</v>
      </c>
      <c r="B75" s="6" t="s">
        <v>2003</v>
      </c>
      <c r="C75" s="6" t="s">
        <v>2701</v>
      </c>
      <c r="D75" s="6" t="s">
        <v>140</v>
      </c>
      <c r="E75" s="6" t="s">
        <v>104</v>
      </c>
      <c r="F75" s="6" t="s">
        <v>105</v>
      </c>
      <c r="G75" s="6" t="s">
        <v>80</v>
      </c>
      <c r="H75" s="6"/>
      <c r="I75" s="6" t="s">
        <v>2361</v>
      </c>
      <c r="J75" s="6" t="s">
        <v>2702</v>
      </c>
      <c r="K75" s="6" t="s">
        <v>2703</v>
      </c>
      <c r="L75" s="23"/>
      <c r="M75" s="6" t="s">
        <v>33</v>
      </c>
      <c r="N75" s="6"/>
      <c r="O75" s="6"/>
      <c r="P75" s="24"/>
      <c r="Q75" s="6"/>
      <c r="R75" s="6"/>
      <c r="S75" s="6"/>
    </row>
    <row r="76" spans="1:19" x14ac:dyDescent="0.25">
      <c r="A76" s="22" t="s">
        <v>2704</v>
      </c>
      <c r="B76" s="6" t="s">
        <v>2177</v>
      </c>
      <c r="C76" s="6" t="s">
        <v>2705</v>
      </c>
      <c r="D76" s="6" t="s">
        <v>103</v>
      </c>
      <c r="E76" s="6" t="s">
        <v>145</v>
      </c>
      <c r="F76" s="6" t="s">
        <v>105</v>
      </c>
      <c r="G76" s="6" t="s">
        <v>80</v>
      </c>
      <c r="H76" s="6"/>
      <c r="I76" s="6" t="s">
        <v>2706</v>
      </c>
      <c r="J76" s="6" t="s">
        <v>2707</v>
      </c>
      <c r="K76" s="6" t="s">
        <v>2708</v>
      </c>
      <c r="L76" s="23" t="s">
        <v>2709</v>
      </c>
      <c r="M76" s="6" t="s">
        <v>33</v>
      </c>
      <c r="N76" s="6"/>
      <c r="O76" s="6"/>
      <c r="P76" s="24"/>
      <c r="Q76" s="6"/>
      <c r="R76" s="6"/>
      <c r="S76" s="6"/>
    </row>
    <row r="77" spans="1:19" x14ac:dyDescent="0.25">
      <c r="A77" s="22" t="s">
        <v>2710</v>
      </c>
      <c r="B77" s="6" t="s">
        <v>2003</v>
      </c>
      <c r="C77" s="6" t="s">
        <v>2711</v>
      </c>
      <c r="D77" s="6" t="s">
        <v>120</v>
      </c>
      <c r="E77" s="6" t="s">
        <v>113</v>
      </c>
      <c r="F77" s="6" t="s">
        <v>127</v>
      </c>
      <c r="G77" s="6" t="s">
        <v>80</v>
      </c>
      <c r="H77" s="6"/>
      <c r="I77" s="6" t="s">
        <v>2712</v>
      </c>
      <c r="J77" s="6" t="s">
        <v>2713</v>
      </c>
      <c r="K77" s="6" t="s">
        <v>2714</v>
      </c>
      <c r="L77" s="23"/>
      <c r="M77" s="6" t="s">
        <v>33</v>
      </c>
      <c r="N77" s="6"/>
      <c r="O77" s="6"/>
      <c r="P77" s="24"/>
      <c r="Q77" s="6"/>
      <c r="R77" s="6"/>
      <c r="S77" s="6"/>
    </row>
    <row r="78" spans="1:19" x14ac:dyDescent="0.25">
      <c r="A78" s="22" t="s">
        <v>2715</v>
      </c>
      <c r="B78" s="6" t="s">
        <v>2057</v>
      </c>
      <c r="C78" s="6" t="s">
        <v>2716</v>
      </c>
      <c r="D78" s="6" t="s">
        <v>103</v>
      </c>
      <c r="E78" s="6" t="s">
        <v>104</v>
      </c>
      <c r="F78" s="6" t="s">
        <v>105</v>
      </c>
      <c r="G78" s="6" t="s">
        <v>80</v>
      </c>
      <c r="H78" s="6"/>
      <c r="I78" s="6" t="s">
        <v>2717</v>
      </c>
      <c r="J78" s="6" t="s">
        <v>2718</v>
      </c>
      <c r="K78" s="6" t="s">
        <v>2719</v>
      </c>
      <c r="L78" s="23"/>
      <c r="M78" s="6" t="s">
        <v>33</v>
      </c>
      <c r="N78" s="6"/>
      <c r="O78" s="6"/>
      <c r="P78" s="24"/>
      <c r="Q78" s="6"/>
      <c r="R78" s="6"/>
      <c r="S78" s="6"/>
    </row>
    <row r="79" spans="1:19" x14ac:dyDescent="0.25">
      <c r="A79" s="22" t="s">
        <v>2720</v>
      </c>
      <c r="B79" s="6" t="s">
        <v>2057</v>
      </c>
      <c r="C79" s="6" t="s">
        <v>2721</v>
      </c>
      <c r="D79" s="6" t="s">
        <v>209</v>
      </c>
      <c r="E79" s="6" t="s">
        <v>113</v>
      </c>
      <c r="F79" s="6" t="s">
        <v>105</v>
      </c>
      <c r="G79" s="6" t="s">
        <v>80</v>
      </c>
      <c r="H79" s="6"/>
      <c r="I79" s="6" t="s">
        <v>2722</v>
      </c>
      <c r="J79" s="6" t="s">
        <v>2723</v>
      </c>
      <c r="K79" s="6" t="s">
        <v>2724</v>
      </c>
      <c r="L79" s="23" t="s">
        <v>2725</v>
      </c>
      <c r="M79" s="6" t="s">
        <v>33</v>
      </c>
      <c r="N79" s="6"/>
      <c r="O79" s="6"/>
      <c r="P79" s="24"/>
      <c r="Q79" s="6"/>
      <c r="R79" s="6"/>
      <c r="S79" s="6"/>
    </row>
    <row r="80" spans="1:19" x14ac:dyDescent="0.25">
      <c r="A80" s="22" t="s">
        <v>2726</v>
      </c>
      <c r="B80" s="6" t="s">
        <v>2057</v>
      </c>
      <c r="C80" s="6" t="s">
        <v>2727</v>
      </c>
      <c r="D80" s="6" t="s">
        <v>103</v>
      </c>
      <c r="E80" s="6" t="s">
        <v>113</v>
      </c>
      <c r="F80" s="6" t="s">
        <v>121</v>
      </c>
      <c r="G80" s="6" t="s">
        <v>80</v>
      </c>
      <c r="H80" s="6"/>
      <c r="I80" s="6" t="s">
        <v>2728</v>
      </c>
      <c r="J80" s="6" t="s">
        <v>2729</v>
      </c>
      <c r="K80" s="6" t="s">
        <v>2730</v>
      </c>
      <c r="L80" s="23"/>
      <c r="M80" s="6" t="s">
        <v>33</v>
      </c>
      <c r="N80" s="6"/>
      <c r="O80" s="6"/>
      <c r="P80" s="24"/>
      <c r="Q80" s="6"/>
      <c r="R80" s="6"/>
      <c r="S80" s="6"/>
    </row>
    <row r="81" spans="1:19" x14ac:dyDescent="0.25">
      <c r="A81" s="22" t="s">
        <v>2731</v>
      </c>
      <c r="B81" s="6" t="s">
        <v>2057</v>
      </c>
      <c r="C81" s="6" t="s">
        <v>2732</v>
      </c>
      <c r="D81" s="6" t="s">
        <v>140</v>
      </c>
      <c r="E81" s="6" t="s">
        <v>104</v>
      </c>
      <c r="F81" s="6" t="s">
        <v>105</v>
      </c>
      <c r="G81" s="6" t="s">
        <v>80</v>
      </c>
      <c r="H81" s="6"/>
      <c r="I81" s="6" t="s">
        <v>2733</v>
      </c>
      <c r="J81" s="6" t="s">
        <v>2734</v>
      </c>
      <c r="K81" s="6" t="s">
        <v>2735</v>
      </c>
      <c r="L81" s="23"/>
      <c r="M81" s="6" t="s">
        <v>33</v>
      </c>
      <c r="N81" s="6"/>
      <c r="O81" s="6"/>
      <c r="P81" s="24"/>
      <c r="Q81" s="6"/>
      <c r="R81" s="6"/>
      <c r="S81" s="6"/>
    </row>
    <row r="82" spans="1:19" x14ac:dyDescent="0.25">
      <c r="A82" s="22" t="s">
        <v>2736</v>
      </c>
      <c r="B82" s="6" t="s">
        <v>2057</v>
      </c>
      <c r="C82" s="6" t="s">
        <v>2737</v>
      </c>
      <c r="D82" s="6" t="s">
        <v>103</v>
      </c>
      <c r="E82" s="6" t="s">
        <v>104</v>
      </c>
      <c r="F82" s="6" t="s">
        <v>121</v>
      </c>
      <c r="G82" s="6" t="s">
        <v>80</v>
      </c>
      <c r="H82" s="6"/>
      <c r="I82" s="6" t="s">
        <v>2738</v>
      </c>
      <c r="J82" s="6" t="s">
        <v>2739</v>
      </c>
      <c r="K82" s="6" t="s">
        <v>2740</v>
      </c>
      <c r="L82" s="23"/>
      <c r="M82" s="6" t="s">
        <v>33</v>
      </c>
      <c r="N82" s="6"/>
      <c r="O82" s="6"/>
      <c r="P82" s="24"/>
      <c r="Q82" s="6"/>
      <c r="R82" s="6"/>
      <c r="S82" s="6"/>
    </row>
    <row r="83" spans="1:19" x14ac:dyDescent="0.25">
      <c r="A83" s="22" t="s">
        <v>2741</v>
      </c>
      <c r="B83" s="6" t="s">
        <v>2057</v>
      </c>
      <c r="C83" s="6" t="s">
        <v>2742</v>
      </c>
      <c r="D83" s="6" t="s">
        <v>103</v>
      </c>
      <c r="E83" s="6" t="s">
        <v>113</v>
      </c>
      <c r="F83" s="6" t="s">
        <v>105</v>
      </c>
      <c r="G83" s="6" t="s">
        <v>80</v>
      </c>
      <c r="H83" s="6"/>
      <c r="I83" s="6" t="s">
        <v>2743</v>
      </c>
      <c r="J83" s="6" t="s">
        <v>2744</v>
      </c>
      <c r="K83" s="6" t="s">
        <v>2745</v>
      </c>
      <c r="L83" s="23"/>
      <c r="M83" s="6" t="s">
        <v>33</v>
      </c>
      <c r="N83" s="6"/>
      <c r="O83" s="6"/>
      <c r="P83" s="24"/>
      <c r="Q83" s="6"/>
      <c r="R83" s="6"/>
      <c r="S83" s="6"/>
    </row>
    <row r="84" spans="1:19" x14ac:dyDescent="0.25">
      <c r="A84" s="22" t="s">
        <v>2746</v>
      </c>
      <c r="B84" s="6" t="s">
        <v>2057</v>
      </c>
      <c r="C84" s="6" t="s">
        <v>2747</v>
      </c>
      <c r="D84" s="6" t="s">
        <v>112</v>
      </c>
      <c r="E84" s="6" t="s">
        <v>145</v>
      </c>
      <c r="F84" s="6" t="s">
        <v>105</v>
      </c>
      <c r="G84" s="6" t="s">
        <v>80</v>
      </c>
      <c r="H84" s="6"/>
      <c r="I84" s="6" t="s">
        <v>2748</v>
      </c>
      <c r="J84" s="6" t="s">
        <v>2749</v>
      </c>
      <c r="K84" s="6" t="s">
        <v>2750</v>
      </c>
      <c r="L84" s="23" t="s">
        <v>2751</v>
      </c>
      <c r="M84" s="6" t="s">
        <v>33</v>
      </c>
      <c r="N84" s="6"/>
      <c r="O84" s="6"/>
      <c r="P84" s="24"/>
      <c r="Q84" s="6"/>
      <c r="R84" s="6"/>
      <c r="S84" s="6"/>
    </row>
    <row r="85" spans="1:19" x14ac:dyDescent="0.25">
      <c r="A85" s="22" t="s">
        <v>2752</v>
      </c>
      <c r="B85" s="6" t="s">
        <v>2057</v>
      </c>
      <c r="C85" s="6" t="s">
        <v>2753</v>
      </c>
      <c r="D85" s="6" t="s">
        <v>103</v>
      </c>
      <c r="E85" s="6" t="s">
        <v>113</v>
      </c>
      <c r="F85" s="6" t="s">
        <v>121</v>
      </c>
      <c r="G85" s="6" t="s">
        <v>80</v>
      </c>
      <c r="H85" s="6"/>
      <c r="I85" s="6" t="s">
        <v>2754</v>
      </c>
      <c r="J85" s="6" t="s">
        <v>2755</v>
      </c>
      <c r="K85" s="6" t="s">
        <v>2756</v>
      </c>
      <c r="L85" s="23"/>
      <c r="M85" s="6" t="s">
        <v>33</v>
      </c>
      <c r="N85" s="6"/>
      <c r="O85" s="6"/>
      <c r="P85" s="24"/>
      <c r="Q85" s="6"/>
      <c r="R85" s="6"/>
      <c r="S85" s="6"/>
    </row>
    <row r="86" spans="1:19" x14ac:dyDescent="0.25">
      <c r="A86" s="22" t="s">
        <v>2757</v>
      </c>
      <c r="B86" s="6" t="s">
        <v>2110</v>
      </c>
      <c r="C86" s="6" t="s">
        <v>2758</v>
      </c>
      <c r="D86" s="6" t="s">
        <v>103</v>
      </c>
      <c r="E86" s="6" t="s">
        <v>113</v>
      </c>
      <c r="F86" s="6" t="s">
        <v>105</v>
      </c>
      <c r="G86" s="6" t="s">
        <v>80</v>
      </c>
      <c r="H86" s="6"/>
      <c r="I86" s="6" t="s">
        <v>2759</v>
      </c>
      <c r="J86" s="6" t="s">
        <v>2760</v>
      </c>
      <c r="K86" s="6" t="s">
        <v>2761</v>
      </c>
      <c r="L86" s="23"/>
      <c r="M86" s="6" t="s">
        <v>33</v>
      </c>
      <c r="N86" s="6"/>
      <c r="O86" s="6"/>
      <c r="P86" s="24"/>
      <c r="Q86" s="6"/>
      <c r="R86" s="6"/>
      <c r="S86" s="6"/>
    </row>
    <row r="87" spans="1:19" x14ac:dyDescent="0.25">
      <c r="A87" s="22" t="s">
        <v>2762</v>
      </c>
      <c r="B87" s="6" t="s">
        <v>2057</v>
      </c>
      <c r="C87" s="6" t="s">
        <v>2763</v>
      </c>
      <c r="D87" s="6" t="s">
        <v>140</v>
      </c>
      <c r="E87" s="6" t="s">
        <v>145</v>
      </c>
      <c r="F87" s="6" t="s">
        <v>105</v>
      </c>
      <c r="G87" s="6" t="s">
        <v>80</v>
      </c>
      <c r="H87" s="6"/>
      <c r="I87" s="6" t="s">
        <v>2361</v>
      </c>
      <c r="J87" s="6" t="s">
        <v>2764</v>
      </c>
      <c r="K87" s="6" t="s">
        <v>2765</v>
      </c>
      <c r="L87" s="23"/>
      <c r="M87" s="6" t="s">
        <v>33</v>
      </c>
      <c r="N87" s="6"/>
      <c r="O87" s="6"/>
      <c r="P87" s="24"/>
      <c r="Q87" s="6"/>
      <c r="R87" s="6"/>
      <c r="S87" s="6"/>
    </row>
    <row r="88" spans="1:19" x14ac:dyDescent="0.25">
      <c r="A88" s="22" t="s">
        <v>2766</v>
      </c>
      <c r="B88" s="6" t="s">
        <v>2767</v>
      </c>
      <c r="C88" s="6" t="s">
        <v>2768</v>
      </c>
      <c r="D88" s="6" t="s">
        <v>103</v>
      </c>
      <c r="E88" s="6" t="s">
        <v>113</v>
      </c>
      <c r="F88" s="6" t="s">
        <v>105</v>
      </c>
      <c r="G88" s="6" t="s">
        <v>80</v>
      </c>
      <c r="H88" s="6"/>
      <c r="I88" s="6" t="s">
        <v>2769</v>
      </c>
      <c r="J88" s="6" t="s">
        <v>2770</v>
      </c>
      <c r="K88" s="6" t="s">
        <v>2771</v>
      </c>
      <c r="L88" s="23"/>
      <c r="M88" s="6" t="s">
        <v>33</v>
      </c>
      <c r="N88" s="6"/>
      <c r="O88" s="6"/>
      <c r="P88" s="24"/>
      <c r="Q88" s="6"/>
      <c r="R88" s="6"/>
      <c r="S88" s="6"/>
    </row>
    <row r="89" spans="1:19" x14ac:dyDescent="0.25">
      <c r="A89" s="22" t="s">
        <v>2772</v>
      </c>
      <c r="B89" s="6" t="s">
        <v>964</v>
      </c>
      <c r="C89" s="6" t="s">
        <v>2773</v>
      </c>
      <c r="D89" s="6" t="s">
        <v>103</v>
      </c>
      <c r="E89" s="6" t="s">
        <v>104</v>
      </c>
      <c r="F89" s="6" t="s">
        <v>105</v>
      </c>
      <c r="G89" s="6" t="s">
        <v>80</v>
      </c>
      <c r="H89" s="6"/>
      <c r="I89" s="6" t="s">
        <v>2774</v>
      </c>
      <c r="J89" s="6" t="s">
        <v>2775</v>
      </c>
      <c r="K89" s="6" t="s">
        <v>2776</v>
      </c>
      <c r="L89" s="23"/>
      <c r="M89" s="6" t="s">
        <v>33</v>
      </c>
      <c r="N89" s="6"/>
      <c r="O89" s="6"/>
      <c r="P89" s="24"/>
      <c r="Q89" s="6"/>
      <c r="R89" s="6"/>
      <c r="S89" s="6"/>
    </row>
    <row r="90" spans="1:19" x14ac:dyDescent="0.25">
      <c r="A90" s="22" t="s">
        <v>2777</v>
      </c>
      <c r="B90" s="6" t="s">
        <v>653</v>
      </c>
      <c r="C90" s="6" t="s">
        <v>2778</v>
      </c>
      <c r="D90" s="6" t="s">
        <v>209</v>
      </c>
      <c r="E90" s="6" t="s">
        <v>113</v>
      </c>
      <c r="F90" s="6" t="s">
        <v>105</v>
      </c>
      <c r="G90" s="6" t="s">
        <v>80</v>
      </c>
      <c r="H90" s="6"/>
      <c r="I90" s="6" t="s">
        <v>2779</v>
      </c>
      <c r="J90" s="6" t="s">
        <v>2780</v>
      </c>
      <c r="K90" s="6" t="s">
        <v>2781</v>
      </c>
      <c r="L90" s="23" t="s">
        <v>2782</v>
      </c>
      <c r="M90" s="6" t="s">
        <v>33</v>
      </c>
      <c r="N90" s="6"/>
      <c r="O90" s="6"/>
      <c r="P90" s="24"/>
      <c r="Q90" s="6"/>
      <c r="R90" s="6"/>
      <c r="S90" s="6"/>
    </row>
    <row r="91" spans="1:19" x14ac:dyDescent="0.25">
      <c r="A91" s="22" t="s">
        <v>2783</v>
      </c>
      <c r="B91" s="6" t="s">
        <v>653</v>
      </c>
      <c r="C91" s="6" t="s">
        <v>2784</v>
      </c>
      <c r="D91" s="6" t="s">
        <v>209</v>
      </c>
      <c r="E91" s="6" t="s">
        <v>104</v>
      </c>
      <c r="F91" s="6" t="s">
        <v>105</v>
      </c>
      <c r="G91" s="6" t="s">
        <v>80</v>
      </c>
      <c r="H91" s="6"/>
      <c r="I91" s="6" t="s">
        <v>2785</v>
      </c>
      <c r="J91" s="6" t="s">
        <v>2786</v>
      </c>
      <c r="K91" s="6" t="s">
        <v>2787</v>
      </c>
      <c r="L91" s="23"/>
      <c r="M91" s="6" t="s">
        <v>33</v>
      </c>
      <c r="N91" s="6"/>
      <c r="O91" s="6"/>
      <c r="P91" s="24"/>
      <c r="Q91" s="6"/>
      <c r="R91" s="6"/>
      <c r="S91" s="6"/>
    </row>
    <row r="92" spans="1:19" x14ac:dyDescent="0.25">
      <c r="A92" s="22" t="s">
        <v>2788</v>
      </c>
      <c r="B92" s="6" t="s">
        <v>1574</v>
      </c>
      <c r="C92" s="6" t="s">
        <v>2789</v>
      </c>
      <c r="D92" s="6" t="s">
        <v>103</v>
      </c>
      <c r="E92" s="6" t="s">
        <v>104</v>
      </c>
      <c r="F92" s="6" t="s">
        <v>105</v>
      </c>
      <c r="G92" s="6" t="s">
        <v>79</v>
      </c>
      <c r="H92" s="6" t="s">
        <v>2790</v>
      </c>
      <c r="I92" s="6" t="s">
        <v>2791</v>
      </c>
      <c r="J92" s="6" t="s">
        <v>2792</v>
      </c>
      <c r="K92" s="6" t="s">
        <v>2793</v>
      </c>
      <c r="L92" s="23"/>
      <c r="M92" s="6" t="s">
        <v>33</v>
      </c>
      <c r="N92" s="6"/>
      <c r="O92" s="6"/>
      <c r="P92" s="24"/>
      <c r="Q92" s="6"/>
      <c r="R92" s="6"/>
      <c r="S92" s="6"/>
    </row>
    <row r="93" spans="1:19" x14ac:dyDescent="0.25">
      <c r="A93" s="22" t="s">
        <v>2794</v>
      </c>
      <c r="B93" s="6" t="s">
        <v>663</v>
      </c>
      <c r="C93" s="6" t="s">
        <v>2795</v>
      </c>
      <c r="D93" s="6" t="s">
        <v>140</v>
      </c>
      <c r="E93" s="6" t="s">
        <v>145</v>
      </c>
      <c r="F93" s="6" t="s">
        <v>105</v>
      </c>
      <c r="G93" s="6" t="s">
        <v>80</v>
      </c>
      <c r="H93" s="6"/>
      <c r="I93" s="6" t="s">
        <v>2796</v>
      </c>
      <c r="J93" s="6" t="s">
        <v>2797</v>
      </c>
      <c r="K93" s="6" t="s">
        <v>2798</v>
      </c>
      <c r="L93" s="23" t="s">
        <v>2799</v>
      </c>
      <c r="M93" s="6" t="s">
        <v>33</v>
      </c>
      <c r="N93" s="6"/>
      <c r="O93" s="6"/>
      <c r="P93" s="24"/>
      <c r="Q93" s="6"/>
      <c r="R93" s="6"/>
      <c r="S93" s="6"/>
    </row>
    <row r="94" spans="1:19" x14ac:dyDescent="0.25">
      <c r="A94" s="22" t="s">
        <v>2800</v>
      </c>
      <c r="B94" s="6" t="s">
        <v>2569</v>
      </c>
      <c r="C94" s="6" t="s">
        <v>2801</v>
      </c>
      <c r="D94" s="6" t="s">
        <v>103</v>
      </c>
      <c r="E94" s="6" t="s">
        <v>145</v>
      </c>
      <c r="F94" s="6" t="s">
        <v>121</v>
      </c>
      <c r="G94" s="6" t="s">
        <v>80</v>
      </c>
      <c r="H94" s="6" t="s">
        <v>2802</v>
      </c>
      <c r="I94" s="6" t="s">
        <v>2803</v>
      </c>
      <c r="J94" s="6" t="s">
        <v>2804</v>
      </c>
      <c r="K94" s="6" t="s">
        <v>2805</v>
      </c>
      <c r="L94" s="23"/>
      <c r="M94" s="6" t="s">
        <v>33</v>
      </c>
      <c r="N94" s="6"/>
      <c r="O94" s="6"/>
      <c r="P94" s="24"/>
      <c r="Q94" s="6"/>
      <c r="R94" s="6"/>
      <c r="S94" s="6"/>
    </row>
    <row r="95" spans="1:19" x14ac:dyDescent="0.25">
      <c r="A95" s="22" t="s">
        <v>2806</v>
      </c>
      <c r="B95" s="6" t="s">
        <v>2807</v>
      </c>
      <c r="C95" s="6" t="s">
        <v>2808</v>
      </c>
      <c r="D95" s="6" t="s">
        <v>103</v>
      </c>
      <c r="E95" s="6" t="s">
        <v>113</v>
      </c>
      <c r="F95" s="6" t="s">
        <v>105</v>
      </c>
      <c r="G95" s="6" t="s">
        <v>80</v>
      </c>
      <c r="H95" s="6" t="s">
        <v>2809</v>
      </c>
      <c r="I95" s="6" t="s">
        <v>2810</v>
      </c>
      <c r="J95" s="6" t="s">
        <v>2811</v>
      </c>
      <c r="K95" s="6" t="s">
        <v>2812</v>
      </c>
      <c r="L95" s="23"/>
      <c r="M95" s="6" t="s">
        <v>33</v>
      </c>
      <c r="N95" s="6"/>
      <c r="O95" s="6"/>
      <c r="P95" s="24"/>
      <c r="Q95" s="6"/>
      <c r="R95" s="6"/>
      <c r="S95" s="6"/>
    </row>
  </sheetData>
  <autoFilter ref="A1:S1"/>
  <conditionalFormatting sqref="M2:M2000">
    <cfRule type="cellIs" dxfId="16" priority="1" operator="equal">
      <formula>"Pass"</formula>
    </cfRule>
    <cfRule type="cellIs" dxfId="17" priority="2" operator="equal">
      <formula>"Fail"</formula>
    </cfRule>
    <cfRule type="cellIs" dxfId="18" priority="3" operator="equal">
      <formula>"Blocked"</formula>
    </cfRule>
    <cfRule type="cellIs" dxfId="19" priority="4" operator="equal">
      <formula>"N/A"</formula>
    </cfRule>
  </conditionalFormatting>
  <dataValidations count="6">
    <dataValidation type="list" allowBlank="1" showErrorMessage="1" errorStyle="stop" errorTitle="Round" error="Choose one of: Round 1 (before the SAO opens a semester), Round 2 (after the SAO activates a semester), Any time" sqref="G10:G95">
      <formula1>"Round 1 (before the SAO opens a semester),Round 2 (after the SAO activates a semester),Any time"</formula1>
    </dataValidation>
    <dataValidation type="list" allowBlank="1" showErrorMessage="1" errorStyle="stop" errorTitle="Round" error="Choose one of: Round 1 (before the SAO opens a semester), Round 2 (after the SAO activates a semester), Any time" sqref="G2:G95">
      <formula1>"Round 1 (before the SAO opens a semester),Round 2 (after the SAO activates a semester),Any time"</formula1>
    </dataValidation>
    <dataValidation type="list" showErrorMessage="1" errorStyle="stop" errorTitle="Status" error="Choose one of: Not run, Pass, Fail, Blocked, N/A" sqref="M10:M95">
      <formula1>"Not run,Pass,Fail,Blocked,N/A"</formula1>
    </dataValidation>
    <dataValidation type="list" showErrorMessage="1" errorStyle="stop" errorTitle="Status" error="Choose one of: Not run, Pass, Fail, Blocked, N/A" sqref="M2:M95">
      <formula1>"Not run,Pass,Fail,Blocked,N/A"</formula1>
    </dataValidation>
    <dataValidation type="list" allowBlank="1" showErrorMessage="1" errorStyle="stop" errorTitle="Severity" error="Choose one of: Critical, Major, Minor, Cosmetic" sqref="N10:N95">
      <formula1>"Critical,Major,Minor,Cosmetic"</formula1>
    </dataValidation>
    <dataValidation type="list" allowBlank="1" showErrorMessage="1" errorStyle="stop" errorTitle="Severity" error="Choose one of: Critical, Major, Minor, Cosmetic" sqref="N2:N95">
      <formula1>"Critical,Major,Minor,Cosmetic"</formula1>
    </dataValidation>
  </dataValidations>
  <pageSetup paperSize="9"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09"/>
  <sheetViews>
    <sheetView workbookViewId="0">
      <pane xSplit="3" ySplit="1" topLeftCell="D2" activePane="bottomRight" state="frozen"/>
      <selection pane="bottomRight"/>
    </sheetView>
  </sheetViews>
  <sheetFormatPr defaultRowHeight="15" outlineLevelRow="0" outlineLevelCol="0" x14ac:dyDescent="55"/>
  <cols>
    <col min="1" max="1" width="12" customWidth="1"/>
    <col min="2" max="2" width="20" customWidth="1"/>
    <col min="3" max="3" width="38" customWidth="1"/>
    <col min="4" max="4" width="13" customWidth="1"/>
    <col min="5" max="5" width="10" customWidth="1"/>
    <col min="6" max="6" width="12" customWidth="1"/>
    <col min="7" max="7" width="24" customWidth="1"/>
    <col min="8" max="8" width="16" customWidth="1"/>
    <col min="9" max="9" width="34" customWidth="1"/>
    <col min="10" max="10" width="52" customWidth="1"/>
    <col min="11" max="11" width="40" customWidth="1"/>
    <col min="12" max="12" width="36" customWidth="1"/>
    <col min="13" max="14" width="12" customWidth="1"/>
    <col min="15" max="15" width="18" customWidth="1"/>
    <col min="16" max="16" width="13" customWidth="1"/>
    <col min="17" max="17" width="24" customWidth="1"/>
    <col min="18" max="18" width="44" customWidth="1"/>
    <col min="19" max="19" width="30" customWidth="1"/>
  </cols>
  <sheetData>
    <row r="1" ht="30" customHeight="1" spans="1:19" x14ac:dyDescent="0.25">
      <c r="A1" s="13" t="s">
        <v>82</v>
      </c>
      <c r="B1" s="13" t="s">
        <v>83</v>
      </c>
      <c r="C1" s="13" t="s">
        <v>84</v>
      </c>
      <c r="D1" s="13" t="s">
        <v>85</v>
      </c>
      <c r="E1" s="13" t="s">
        <v>86</v>
      </c>
      <c r="F1" s="13" t="s">
        <v>87</v>
      </c>
      <c r="G1" s="13" t="s">
        <v>77</v>
      </c>
      <c r="H1" s="13" t="s">
        <v>88</v>
      </c>
      <c r="I1" s="13" t="s">
        <v>89</v>
      </c>
      <c r="J1" s="13" t="s">
        <v>90</v>
      </c>
      <c r="K1" s="13" t="s">
        <v>91</v>
      </c>
      <c r="L1" s="13" t="s">
        <v>92</v>
      </c>
      <c r="M1" s="5" t="s">
        <v>93</v>
      </c>
      <c r="N1" s="5" t="s">
        <v>94</v>
      </c>
      <c r="O1" s="5" t="s">
        <v>95</v>
      </c>
      <c r="P1" s="5" t="s">
        <v>96</v>
      </c>
      <c r="Q1" s="5" t="s">
        <v>97</v>
      </c>
      <c r="R1" s="5" t="s">
        <v>98</v>
      </c>
      <c r="S1" s="5" t="s">
        <v>99</v>
      </c>
    </row>
    <row r="2" spans="1:19" x14ac:dyDescent="0.25">
      <c r="A2" s="22" t="s">
        <v>2813</v>
      </c>
      <c r="B2" s="6" t="s">
        <v>675</v>
      </c>
      <c r="C2" s="6" t="s">
        <v>2814</v>
      </c>
      <c r="D2" s="6" t="s">
        <v>103</v>
      </c>
      <c r="E2" s="6" t="s">
        <v>104</v>
      </c>
      <c r="F2" s="6" t="s">
        <v>105</v>
      </c>
      <c r="G2" s="6" t="s">
        <v>80</v>
      </c>
      <c r="H2" s="6"/>
      <c r="I2" s="6" t="s">
        <v>2815</v>
      </c>
      <c r="J2" s="6" t="s">
        <v>2816</v>
      </c>
      <c r="K2" s="6" t="s">
        <v>2817</v>
      </c>
      <c r="L2" s="23"/>
      <c r="M2" s="6" t="s">
        <v>33</v>
      </c>
      <c r="N2" s="6"/>
      <c r="O2" s="6"/>
      <c r="P2" s="24"/>
      <c r="Q2" s="6"/>
      <c r="R2" s="6"/>
      <c r="S2" s="6"/>
    </row>
    <row r="3" spans="1:19" x14ac:dyDescent="0.25">
      <c r="A3" s="22" t="s">
        <v>2818</v>
      </c>
      <c r="B3" s="6" t="s">
        <v>675</v>
      </c>
      <c r="C3" s="6" t="s">
        <v>2819</v>
      </c>
      <c r="D3" s="6" t="s">
        <v>209</v>
      </c>
      <c r="E3" s="6" t="s">
        <v>113</v>
      </c>
      <c r="F3" s="6" t="s">
        <v>105</v>
      </c>
      <c r="G3" s="6" t="s">
        <v>80</v>
      </c>
      <c r="H3" s="6"/>
      <c r="I3" s="6" t="s">
        <v>2334</v>
      </c>
      <c r="J3" s="6" t="s">
        <v>2820</v>
      </c>
      <c r="K3" s="6" t="s">
        <v>2821</v>
      </c>
      <c r="L3" s="23"/>
      <c r="M3" s="6" t="s">
        <v>33</v>
      </c>
      <c r="N3" s="6"/>
      <c r="O3" s="6"/>
      <c r="P3" s="24"/>
      <c r="Q3" s="6"/>
      <c r="R3" s="6"/>
      <c r="S3" s="6"/>
    </row>
    <row r="4" spans="1:19" x14ac:dyDescent="0.25">
      <c r="A4" s="22" t="s">
        <v>2822</v>
      </c>
      <c r="B4" s="6" t="s">
        <v>675</v>
      </c>
      <c r="C4" s="6" t="s">
        <v>2823</v>
      </c>
      <c r="D4" s="6" t="s">
        <v>112</v>
      </c>
      <c r="E4" s="6" t="s">
        <v>113</v>
      </c>
      <c r="F4" s="6" t="s">
        <v>105</v>
      </c>
      <c r="G4" s="6" t="s">
        <v>80</v>
      </c>
      <c r="H4" s="6"/>
      <c r="I4" s="6" t="s">
        <v>2824</v>
      </c>
      <c r="J4" s="6" t="s">
        <v>2825</v>
      </c>
      <c r="K4" s="6" t="s">
        <v>2826</v>
      </c>
      <c r="L4" s="23" t="s">
        <v>2827</v>
      </c>
      <c r="M4" s="6" t="s">
        <v>33</v>
      </c>
      <c r="N4" s="6"/>
      <c r="O4" s="6"/>
      <c r="P4" s="24"/>
      <c r="Q4" s="6"/>
      <c r="R4" s="6"/>
      <c r="S4" s="6"/>
    </row>
    <row r="5" spans="1:19" x14ac:dyDescent="0.25">
      <c r="A5" s="22" t="s">
        <v>2828</v>
      </c>
      <c r="B5" s="6" t="s">
        <v>675</v>
      </c>
      <c r="C5" s="6" t="s">
        <v>2829</v>
      </c>
      <c r="D5" s="6" t="s">
        <v>112</v>
      </c>
      <c r="E5" s="6" t="s">
        <v>104</v>
      </c>
      <c r="F5" s="6" t="s">
        <v>105</v>
      </c>
      <c r="G5" s="6" t="s">
        <v>80</v>
      </c>
      <c r="H5" s="6"/>
      <c r="I5" s="6" t="s">
        <v>2830</v>
      </c>
      <c r="J5" s="6" t="s">
        <v>2831</v>
      </c>
      <c r="K5" s="6" t="s">
        <v>2832</v>
      </c>
      <c r="L5" s="23"/>
      <c r="M5" s="6" t="s">
        <v>33</v>
      </c>
      <c r="N5" s="6"/>
      <c r="O5" s="6"/>
      <c r="P5" s="24"/>
      <c r="Q5" s="6"/>
      <c r="R5" s="6"/>
      <c r="S5" s="6"/>
    </row>
    <row r="6" spans="1:19" x14ac:dyDescent="0.25">
      <c r="A6" s="22" t="s">
        <v>2833</v>
      </c>
      <c r="B6" s="6" t="s">
        <v>675</v>
      </c>
      <c r="C6" s="6" t="s">
        <v>2834</v>
      </c>
      <c r="D6" s="6" t="s">
        <v>112</v>
      </c>
      <c r="E6" s="6" t="s">
        <v>104</v>
      </c>
      <c r="F6" s="6" t="s">
        <v>105</v>
      </c>
      <c r="G6" s="6" t="s">
        <v>80</v>
      </c>
      <c r="H6" s="6"/>
      <c r="I6" s="6" t="s">
        <v>2835</v>
      </c>
      <c r="J6" s="6" t="s">
        <v>2836</v>
      </c>
      <c r="K6" s="6" t="s">
        <v>2837</v>
      </c>
      <c r="L6" s="23" t="s">
        <v>2838</v>
      </c>
      <c r="M6" s="6" t="s">
        <v>33</v>
      </c>
      <c r="N6" s="6"/>
      <c r="O6" s="6"/>
      <c r="P6" s="24"/>
      <c r="Q6" s="6"/>
      <c r="R6" s="6"/>
      <c r="S6" s="6"/>
    </row>
    <row r="7" spans="1:19" x14ac:dyDescent="0.25">
      <c r="A7" s="22" t="s">
        <v>2839</v>
      </c>
      <c r="B7" s="6" t="s">
        <v>675</v>
      </c>
      <c r="C7" s="6" t="s">
        <v>2840</v>
      </c>
      <c r="D7" s="6" t="s">
        <v>140</v>
      </c>
      <c r="E7" s="6" t="s">
        <v>104</v>
      </c>
      <c r="F7" s="6" t="s">
        <v>105</v>
      </c>
      <c r="G7" s="6" t="s">
        <v>80</v>
      </c>
      <c r="H7" s="6"/>
      <c r="I7" s="6" t="s">
        <v>2841</v>
      </c>
      <c r="J7" s="6" t="s">
        <v>2842</v>
      </c>
      <c r="K7" s="6" t="s">
        <v>2843</v>
      </c>
      <c r="L7" s="23"/>
      <c r="M7" s="6" t="s">
        <v>33</v>
      </c>
      <c r="N7" s="6"/>
      <c r="O7" s="6"/>
      <c r="P7" s="24"/>
      <c r="Q7" s="6"/>
      <c r="R7" s="6"/>
      <c r="S7" s="6"/>
    </row>
    <row r="8" spans="1:19" x14ac:dyDescent="0.25">
      <c r="A8" s="22" t="s">
        <v>2844</v>
      </c>
      <c r="B8" s="6" t="s">
        <v>675</v>
      </c>
      <c r="C8" s="6" t="s">
        <v>2845</v>
      </c>
      <c r="D8" s="6" t="s">
        <v>140</v>
      </c>
      <c r="E8" s="6" t="s">
        <v>104</v>
      </c>
      <c r="F8" s="6" t="s">
        <v>105</v>
      </c>
      <c r="G8" s="6" t="s">
        <v>80</v>
      </c>
      <c r="H8" s="6"/>
      <c r="I8" s="6" t="s">
        <v>2846</v>
      </c>
      <c r="J8" s="6" t="s">
        <v>2847</v>
      </c>
      <c r="K8" s="6" t="s">
        <v>2848</v>
      </c>
      <c r="L8" s="23"/>
      <c r="M8" s="6" t="s">
        <v>33</v>
      </c>
      <c r="N8" s="6"/>
      <c r="O8" s="6"/>
      <c r="P8" s="24"/>
      <c r="Q8" s="6"/>
      <c r="R8" s="6"/>
      <c r="S8" s="6"/>
    </row>
    <row r="9" spans="1:19" x14ac:dyDescent="0.25">
      <c r="A9" s="22" t="s">
        <v>2849</v>
      </c>
      <c r="B9" s="6" t="s">
        <v>675</v>
      </c>
      <c r="C9" s="6" t="s">
        <v>2850</v>
      </c>
      <c r="D9" s="6" t="s">
        <v>112</v>
      </c>
      <c r="E9" s="6" t="s">
        <v>113</v>
      </c>
      <c r="F9" s="6" t="s">
        <v>105</v>
      </c>
      <c r="G9" s="6" t="s">
        <v>80</v>
      </c>
      <c r="H9" s="6"/>
      <c r="I9" s="6" t="s">
        <v>2851</v>
      </c>
      <c r="J9" s="6" t="s">
        <v>2852</v>
      </c>
      <c r="K9" s="6" t="s">
        <v>2853</v>
      </c>
      <c r="L9" s="23"/>
      <c r="M9" s="6" t="s">
        <v>33</v>
      </c>
      <c r="N9" s="6"/>
      <c r="O9" s="6"/>
      <c r="P9" s="24"/>
      <c r="Q9" s="6"/>
      <c r="R9" s="6"/>
      <c r="S9" s="6"/>
    </row>
    <row r="10" spans="1:19" x14ac:dyDescent="0.25">
      <c r="A10" s="22" t="s">
        <v>2854</v>
      </c>
      <c r="B10" s="6" t="s">
        <v>675</v>
      </c>
      <c r="C10" s="6" t="s">
        <v>2855</v>
      </c>
      <c r="D10" s="6" t="s">
        <v>103</v>
      </c>
      <c r="E10" s="6" t="s">
        <v>113</v>
      </c>
      <c r="F10" s="6" t="s">
        <v>105</v>
      </c>
      <c r="G10" s="6" t="s">
        <v>80</v>
      </c>
      <c r="H10" s="6"/>
      <c r="I10" s="6" t="s">
        <v>2856</v>
      </c>
      <c r="J10" s="6" t="s">
        <v>2857</v>
      </c>
      <c r="K10" s="6" t="s">
        <v>2858</v>
      </c>
      <c r="L10" s="23"/>
      <c r="M10" s="6" t="s">
        <v>33</v>
      </c>
      <c r="N10" s="6"/>
      <c r="O10" s="6"/>
      <c r="P10" s="24"/>
      <c r="Q10" s="6"/>
      <c r="R10" s="6"/>
      <c r="S10" s="6"/>
    </row>
    <row r="11" spans="1:19" x14ac:dyDescent="0.25">
      <c r="A11" s="22" t="s">
        <v>2859</v>
      </c>
      <c r="B11" s="6" t="s">
        <v>675</v>
      </c>
      <c r="C11" s="6" t="s">
        <v>133</v>
      </c>
      <c r="D11" s="6" t="s">
        <v>103</v>
      </c>
      <c r="E11" s="6" t="s">
        <v>104</v>
      </c>
      <c r="F11" s="6" t="s">
        <v>105</v>
      </c>
      <c r="G11" s="6" t="s">
        <v>80</v>
      </c>
      <c r="H11" s="6"/>
      <c r="I11" s="6" t="s">
        <v>2851</v>
      </c>
      <c r="J11" s="6" t="s">
        <v>2860</v>
      </c>
      <c r="K11" s="6" t="s">
        <v>2861</v>
      </c>
      <c r="L11" s="23"/>
      <c r="M11" s="6" t="s">
        <v>33</v>
      </c>
      <c r="N11" s="6"/>
      <c r="O11" s="6"/>
      <c r="P11" s="24"/>
      <c r="Q11" s="6"/>
      <c r="R11" s="6"/>
      <c r="S11" s="6"/>
    </row>
    <row r="12" spans="1:19" x14ac:dyDescent="0.25">
      <c r="A12" s="22" t="s">
        <v>2862</v>
      </c>
      <c r="B12" s="6" t="s">
        <v>675</v>
      </c>
      <c r="C12" s="6" t="s">
        <v>2863</v>
      </c>
      <c r="D12" s="6" t="s">
        <v>103</v>
      </c>
      <c r="E12" s="6" t="s">
        <v>113</v>
      </c>
      <c r="F12" s="6" t="s">
        <v>105</v>
      </c>
      <c r="G12" s="6" t="s">
        <v>80</v>
      </c>
      <c r="H12" s="6"/>
      <c r="I12" s="6" t="s">
        <v>2864</v>
      </c>
      <c r="J12" s="6" t="s">
        <v>2865</v>
      </c>
      <c r="K12" s="6" t="s">
        <v>2866</v>
      </c>
      <c r="L12" s="23" t="s">
        <v>2867</v>
      </c>
      <c r="M12" s="6" t="s">
        <v>33</v>
      </c>
      <c r="N12" s="6"/>
      <c r="O12" s="6"/>
      <c r="P12" s="24"/>
      <c r="Q12" s="6"/>
      <c r="R12" s="6"/>
      <c r="S12" s="6"/>
    </row>
    <row r="13" spans="1:19" x14ac:dyDescent="0.25">
      <c r="A13" s="22" t="s">
        <v>2868</v>
      </c>
      <c r="B13" s="6" t="s">
        <v>675</v>
      </c>
      <c r="C13" s="6" t="s">
        <v>2869</v>
      </c>
      <c r="D13" s="6" t="s">
        <v>120</v>
      </c>
      <c r="E13" s="6" t="s">
        <v>104</v>
      </c>
      <c r="F13" s="6" t="s">
        <v>127</v>
      </c>
      <c r="G13" s="6" t="s">
        <v>80</v>
      </c>
      <c r="H13" s="6"/>
      <c r="I13" s="6" t="s">
        <v>2870</v>
      </c>
      <c r="J13" s="6" t="s">
        <v>2871</v>
      </c>
      <c r="K13" s="6" t="s">
        <v>2872</v>
      </c>
      <c r="L13" s="23" t="s">
        <v>2873</v>
      </c>
      <c r="M13" s="6" t="s">
        <v>33</v>
      </c>
      <c r="N13" s="6"/>
      <c r="O13" s="6"/>
      <c r="P13" s="24"/>
      <c r="Q13" s="6"/>
      <c r="R13" s="6"/>
      <c r="S13" s="6"/>
    </row>
    <row r="14" spans="1:19" x14ac:dyDescent="0.25">
      <c r="A14" s="22" t="s">
        <v>2874</v>
      </c>
      <c r="B14" s="6" t="s">
        <v>2875</v>
      </c>
      <c r="C14" s="6" t="s">
        <v>2876</v>
      </c>
      <c r="D14" s="6" t="s">
        <v>103</v>
      </c>
      <c r="E14" s="6" t="s">
        <v>104</v>
      </c>
      <c r="F14" s="6" t="s">
        <v>105</v>
      </c>
      <c r="G14" s="6" t="s">
        <v>80</v>
      </c>
      <c r="H14" s="6"/>
      <c r="I14" s="6" t="s">
        <v>2877</v>
      </c>
      <c r="J14" s="6" t="s">
        <v>2878</v>
      </c>
      <c r="K14" s="6" t="s">
        <v>2879</v>
      </c>
      <c r="L14" s="23"/>
      <c r="M14" s="6" t="s">
        <v>33</v>
      </c>
      <c r="N14" s="6"/>
      <c r="O14" s="6"/>
      <c r="P14" s="24"/>
      <c r="Q14" s="6"/>
      <c r="R14" s="6"/>
      <c r="S14" s="6"/>
    </row>
    <row r="15" spans="1:19" x14ac:dyDescent="0.25">
      <c r="A15" s="22" t="s">
        <v>2880</v>
      </c>
      <c r="B15" s="6" t="s">
        <v>2875</v>
      </c>
      <c r="C15" s="6" t="s">
        <v>2881</v>
      </c>
      <c r="D15" s="6" t="s">
        <v>140</v>
      </c>
      <c r="E15" s="6" t="s">
        <v>104</v>
      </c>
      <c r="F15" s="6" t="s">
        <v>105</v>
      </c>
      <c r="G15" s="6" t="s">
        <v>80</v>
      </c>
      <c r="H15" s="6"/>
      <c r="I15" s="6" t="s">
        <v>2882</v>
      </c>
      <c r="J15" s="6" t="s">
        <v>2883</v>
      </c>
      <c r="K15" s="6" t="s">
        <v>2884</v>
      </c>
      <c r="L15" s="23"/>
      <c r="M15" s="6" t="s">
        <v>33</v>
      </c>
      <c r="N15" s="6"/>
      <c r="O15" s="6"/>
      <c r="P15" s="24"/>
      <c r="Q15" s="6"/>
      <c r="R15" s="6"/>
      <c r="S15" s="6"/>
    </row>
    <row r="16" spans="1:19" x14ac:dyDescent="0.25">
      <c r="A16" s="22" t="s">
        <v>2885</v>
      </c>
      <c r="B16" s="6" t="s">
        <v>2875</v>
      </c>
      <c r="C16" s="6" t="s">
        <v>2886</v>
      </c>
      <c r="D16" s="6" t="s">
        <v>209</v>
      </c>
      <c r="E16" s="6" t="s">
        <v>104</v>
      </c>
      <c r="F16" s="6" t="s">
        <v>105</v>
      </c>
      <c r="G16" s="6" t="s">
        <v>80</v>
      </c>
      <c r="H16" s="6"/>
      <c r="I16" s="6" t="s">
        <v>2887</v>
      </c>
      <c r="J16" s="6" t="s">
        <v>2888</v>
      </c>
      <c r="K16" s="6" t="s">
        <v>2889</v>
      </c>
      <c r="L16" s="23"/>
      <c r="M16" s="6" t="s">
        <v>33</v>
      </c>
      <c r="N16" s="6"/>
      <c r="O16" s="6"/>
      <c r="P16" s="24"/>
      <c r="Q16" s="6"/>
      <c r="R16" s="6"/>
      <c r="S16" s="6"/>
    </row>
    <row r="17" spans="1:19" x14ac:dyDescent="0.25">
      <c r="A17" s="22" t="s">
        <v>2890</v>
      </c>
      <c r="B17" s="6" t="s">
        <v>2875</v>
      </c>
      <c r="C17" s="6" t="s">
        <v>2891</v>
      </c>
      <c r="D17" s="6" t="s">
        <v>112</v>
      </c>
      <c r="E17" s="6" t="s">
        <v>113</v>
      </c>
      <c r="F17" s="6" t="s">
        <v>105</v>
      </c>
      <c r="G17" s="6" t="s">
        <v>80</v>
      </c>
      <c r="H17" s="6"/>
      <c r="I17" s="6" t="s">
        <v>2887</v>
      </c>
      <c r="J17" s="6" t="s">
        <v>2892</v>
      </c>
      <c r="K17" s="6" t="s">
        <v>2893</v>
      </c>
      <c r="L17" s="23" t="s">
        <v>1237</v>
      </c>
      <c r="M17" s="6" t="s">
        <v>33</v>
      </c>
      <c r="N17" s="6"/>
      <c r="O17" s="6"/>
      <c r="P17" s="24"/>
      <c r="Q17" s="6"/>
      <c r="R17" s="6"/>
      <c r="S17" s="6"/>
    </row>
    <row r="18" spans="1:19" x14ac:dyDescent="0.25">
      <c r="A18" s="22" t="s">
        <v>2894</v>
      </c>
      <c r="B18" s="6" t="s">
        <v>2875</v>
      </c>
      <c r="C18" s="6" t="s">
        <v>2895</v>
      </c>
      <c r="D18" s="6" t="s">
        <v>103</v>
      </c>
      <c r="E18" s="6" t="s">
        <v>104</v>
      </c>
      <c r="F18" s="6" t="s">
        <v>105</v>
      </c>
      <c r="G18" s="6" t="s">
        <v>80</v>
      </c>
      <c r="H18" s="6"/>
      <c r="I18" s="6" t="s">
        <v>2887</v>
      </c>
      <c r="J18" s="6" t="s">
        <v>2896</v>
      </c>
      <c r="K18" s="6" t="s">
        <v>2897</v>
      </c>
      <c r="L18" s="23"/>
      <c r="M18" s="6" t="s">
        <v>33</v>
      </c>
      <c r="N18" s="6"/>
      <c r="O18" s="6"/>
      <c r="P18" s="24"/>
      <c r="Q18" s="6"/>
      <c r="R18" s="6"/>
      <c r="S18" s="6"/>
    </row>
    <row r="19" spans="1:19" x14ac:dyDescent="0.25">
      <c r="A19" s="22" t="s">
        <v>2898</v>
      </c>
      <c r="B19" s="6" t="s">
        <v>2875</v>
      </c>
      <c r="C19" s="6" t="s">
        <v>2899</v>
      </c>
      <c r="D19" s="6" t="s">
        <v>120</v>
      </c>
      <c r="E19" s="6" t="s">
        <v>113</v>
      </c>
      <c r="F19" s="6" t="s">
        <v>127</v>
      </c>
      <c r="G19" s="6" t="s">
        <v>80</v>
      </c>
      <c r="H19" s="6"/>
      <c r="I19" s="6" t="s">
        <v>2900</v>
      </c>
      <c r="J19" s="6" t="s">
        <v>2901</v>
      </c>
      <c r="K19" s="6" t="s">
        <v>2902</v>
      </c>
      <c r="L19" s="23"/>
      <c r="M19" s="6" t="s">
        <v>33</v>
      </c>
      <c r="N19" s="6"/>
      <c r="O19" s="6"/>
      <c r="P19" s="24"/>
      <c r="Q19" s="6"/>
      <c r="R19" s="6"/>
      <c r="S19" s="6"/>
    </row>
    <row r="20" spans="1:19" x14ac:dyDescent="0.25">
      <c r="A20" s="22" t="s">
        <v>2903</v>
      </c>
      <c r="B20" s="6" t="s">
        <v>2904</v>
      </c>
      <c r="C20" s="6" t="s">
        <v>2905</v>
      </c>
      <c r="D20" s="6" t="s">
        <v>103</v>
      </c>
      <c r="E20" s="6" t="s">
        <v>104</v>
      </c>
      <c r="F20" s="6" t="s">
        <v>105</v>
      </c>
      <c r="G20" s="6" t="s">
        <v>80</v>
      </c>
      <c r="H20" s="6"/>
      <c r="I20" s="6" t="s">
        <v>2851</v>
      </c>
      <c r="J20" s="6" t="s">
        <v>2906</v>
      </c>
      <c r="K20" s="6" t="s">
        <v>2907</v>
      </c>
      <c r="L20" s="23"/>
      <c r="M20" s="6" t="s">
        <v>33</v>
      </c>
      <c r="N20" s="6"/>
      <c r="O20" s="6"/>
      <c r="P20" s="24"/>
      <c r="Q20" s="6"/>
      <c r="R20" s="6"/>
      <c r="S20" s="6"/>
    </row>
    <row r="21" spans="1:19" x14ac:dyDescent="0.25">
      <c r="A21" s="22" t="s">
        <v>2908</v>
      </c>
      <c r="B21" s="6" t="s">
        <v>2904</v>
      </c>
      <c r="C21" s="6" t="s">
        <v>2909</v>
      </c>
      <c r="D21" s="6" t="s">
        <v>103</v>
      </c>
      <c r="E21" s="6" t="s">
        <v>113</v>
      </c>
      <c r="F21" s="6" t="s">
        <v>105</v>
      </c>
      <c r="G21" s="6" t="s">
        <v>80</v>
      </c>
      <c r="H21" s="6"/>
      <c r="I21" s="6" t="s">
        <v>2910</v>
      </c>
      <c r="J21" s="6" t="s">
        <v>2911</v>
      </c>
      <c r="K21" s="6" t="s">
        <v>2912</v>
      </c>
      <c r="L21" s="23"/>
      <c r="M21" s="6" t="s">
        <v>33</v>
      </c>
      <c r="N21" s="6"/>
      <c r="O21" s="6"/>
      <c r="P21" s="24"/>
      <c r="Q21" s="6"/>
      <c r="R21" s="6"/>
      <c r="S21" s="6"/>
    </row>
    <row r="22" spans="1:19" x14ac:dyDescent="0.25">
      <c r="A22" s="22" t="s">
        <v>2913</v>
      </c>
      <c r="B22" s="6" t="s">
        <v>2904</v>
      </c>
      <c r="C22" s="6" t="s">
        <v>2914</v>
      </c>
      <c r="D22" s="6" t="s">
        <v>103</v>
      </c>
      <c r="E22" s="6" t="s">
        <v>104</v>
      </c>
      <c r="F22" s="6" t="s">
        <v>105</v>
      </c>
      <c r="G22" s="6" t="s">
        <v>80</v>
      </c>
      <c r="H22" s="6"/>
      <c r="I22" s="6" t="s">
        <v>2915</v>
      </c>
      <c r="J22" s="6" t="s">
        <v>2916</v>
      </c>
      <c r="K22" s="6" t="s">
        <v>2917</v>
      </c>
      <c r="L22" s="23"/>
      <c r="M22" s="6" t="s">
        <v>33</v>
      </c>
      <c r="N22" s="6"/>
      <c r="O22" s="6"/>
      <c r="P22" s="24"/>
      <c r="Q22" s="6"/>
      <c r="R22" s="6"/>
      <c r="S22" s="6"/>
    </row>
    <row r="23" spans="1:19" x14ac:dyDescent="0.25">
      <c r="A23" s="22" t="s">
        <v>2918</v>
      </c>
      <c r="B23" s="6" t="s">
        <v>2904</v>
      </c>
      <c r="C23" s="6" t="s">
        <v>2919</v>
      </c>
      <c r="D23" s="6" t="s">
        <v>103</v>
      </c>
      <c r="E23" s="6" t="s">
        <v>113</v>
      </c>
      <c r="F23" s="6" t="s">
        <v>105</v>
      </c>
      <c r="G23" s="6" t="s">
        <v>80</v>
      </c>
      <c r="H23" s="6"/>
      <c r="I23" s="6" t="s">
        <v>2851</v>
      </c>
      <c r="J23" s="6" t="s">
        <v>2920</v>
      </c>
      <c r="K23" s="6" t="s">
        <v>2921</v>
      </c>
      <c r="L23" s="23"/>
      <c r="M23" s="6" t="s">
        <v>33</v>
      </c>
      <c r="N23" s="6"/>
      <c r="O23" s="6"/>
      <c r="P23" s="24"/>
      <c r="Q23" s="6"/>
      <c r="R23" s="6"/>
      <c r="S23" s="6"/>
    </row>
    <row r="24" spans="1:19" x14ac:dyDescent="0.25">
      <c r="A24" s="22" t="s">
        <v>2922</v>
      </c>
      <c r="B24" s="6" t="s">
        <v>2904</v>
      </c>
      <c r="C24" s="6" t="s">
        <v>2923</v>
      </c>
      <c r="D24" s="6" t="s">
        <v>120</v>
      </c>
      <c r="E24" s="6" t="s">
        <v>104</v>
      </c>
      <c r="F24" s="6" t="s">
        <v>127</v>
      </c>
      <c r="G24" s="6" t="s">
        <v>80</v>
      </c>
      <c r="H24" s="6"/>
      <c r="I24" s="6" t="s">
        <v>2924</v>
      </c>
      <c r="J24" s="6" t="s">
        <v>2925</v>
      </c>
      <c r="K24" s="6" t="s">
        <v>2926</v>
      </c>
      <c r="L24" s="23"/>
      <c r="M24" s="6" t="s">
        <v>33</v>
      </c>
      <c r="N24" s="6"/>
      <c r="O24" s="6"/>
      <c r="P24" s="24"/>
      <c r="Q24" s="6"/>
      <c r="R24" s="6"/>
      <c r="S24" s="6"/>
    </row>
    <row r="25" spans="1:19" x14ac:dyDescent="0.25">
      <c r="A25" s="22" t="s">
        <v>2927</v>
      </c>
      <c r="B25" s="6" t="s">
        <v>686</v>
      </c>
      <c r="C25" s="6" t="s">
        <v>2928</v>
      </c>
      <c r="D25" s="6" t="s">
        <v>140</v>
      </c>
      <c r="E25" s="6" t="s">
        <v>104</v>
      </c>
      <c r="F25" s="6" t="s">
        <v>121</v>
      </c>
      <c r="G25" s="6" t="s">
        <v>80</v>
      </c>
      <c r="H25" s="6"/>
      <c r="I25" s="6" t="s">
        <v>2929</v>
      </c>
      <c r="J25" s="6" t="s">
        <v>2930</v>
      </c>
      <c r="K25" s="6" t="s">
        <v>2931</v>
      </c>
      <c r="L25" s="23" t="s">
        <v>2932</v>
      </c>
      <c r="M25" s="6" t="s">
        <v>33</v>
      </c>
      <c r="N25" s="6"/>
      <c r="O25" s="6"/>
      <c r="P25" s="24"/>
      <c r="Q25" s="6"/>
      <c r="R25" s="6"/>
      <c r="S25" s="6"/>
    </row>
    <row r="26" spans="1:19" x14ac:dyDescent="0.25">
      <c r="A26" s="22" t="s">
        <v>2933</v>
      </c>
      <c r="B26" s="6" t="s">
        <v>686</v>
      </c>
      <c r="C26" s="6" t="s">
        <v>2934</v>
      </c>
      <c r="D26" s="6" t="s">
        <v>120</v>
      </c>
      <c r="E26" s="6" t="s">
        <v>104</v>
      </c>
      <c r="F26" s="6" t="s">
        <v>127</v>
      </c>
      <c r="G26" s="6" t="s">
        <v>80</v>
      </c>
      <c r="H26" s="6"/>
      <c r="I26" s="6" t="s">
        <v>2935</v>
      </c>
      <c r="J26" s="6" t="s">
        <v>2936</v>
      </c>
      <c r="K26" s="6" t="s">
        <v>2937</v>
      </c>
      <c r="L26" s="23"/>
      <c r="M26" s="6" t="s">
        <v>33</v>
      </c>
      <c r="N26" s="6"/>
      <c r="O26" s="6"/>
      <c r="P26" s="24"/>
      <c r="Q26" s="6"/>
      <c r="R26" s="6"/>
      <c r="S26" s="6"/>
    </row>
    <row r="27" spans="1:19" x14ac:dyDescent="0.25">
      <c r="A27" s="22" t="s">
        <v>2938</v>
      </c>
      <c r="B27" s="6" t="s">
        <v>686</v>
      </c>
      <c r="C27" s="6" t="s">
        <v>2939</v>
      </c>
      <c r="D27" s="6" t="s">
        <v>120</v>
      </c>
      <c r="E27" s="6" t="s">
        <v>104</v>
      </c>
      <c r="F27" s="6" t="s">
        <v>127</v>
      </c>
      <c r="G27" s="6" t="s">
        <v>80</v>
      </c>
      <c r="H27" s="6"/>
      <c r="I27" s="6" t="s">
        <v>2940</v>
      </c>
      <c r="J27" s="6" t="s">
        <v>2941</v>
      </c>
      <c r="K27" s="6" t="s">
        <v>2942</v>
      </c>
      <c r="L27" s="23" t="s">
        <v>2943</v>
      </c>
      <c r="M27" s="6" t="s">
        <v>33</v>
      </c>
      <c r="N27" s="6"/>
      <c r="O27" s="6"/>
      <c r="P27" s="24"/>
      <c r="Q27" s="6"/>
      <c r="R27" s="6"/>
      <c r="S27" s="6"/>
    </row>
    <row r="28" spans="1:19" x14ac:dyDescent="0.25">
      <c r="A28" s="22" t="s">
        <v>2944</v>
      </c>
      <c r="B28" s="6" t="s">
        <v>686</v>
      </c>
      <c r="C28" s="6" t="s">
        <v>2945</v>
      </c>
      <c r="D28" s="6" t="s">
        <v>140</v>
      </c>
      <c r="E28" s="6" t="s">
        <v>113</v>
      </c>
      <c r="F28" s="6" t="s">
        <v>121</v>
      </c>
      <c r="G28" s="6" t="s">
        <v>80</v>
      </c>
      <c r="H28" s="6"/>
      <c r="I28" s="6" t="s">
        <v>2851</v>
      </c>
      <c r="J28" s="6" t="s">
        <v>2946</v>
      </c>
      <c r="K28" s="6" t="s">
        <v>2947</v>
      </c>
      <c r="L28" s="23"/>
      <c r="M28" s="6" t="s">
        <v>33</v>
      </c>
      <c r="N28" s="6"/>
      <c r="O28" s="6"/>
      <c r="P28" s="24"/>
      <c r="Q28" s="6"/>
      <c r="R28" s="6"/>
      <c r="S28" s="6"/>
    </row>
    <row r="29" spans="1:19" x14ac:dyDescent="0.25">
      <c r="A29" s="22" t="s">
        <v>2948</v>
      </c>
      <c r="B29" s="6" t="s">
        <v>2949</v>
      </c>
      <c r="C29" s="6" t="s">
        <v>2950</v>
      </c>
      <c r="D29" s="6" t="s">
        <v>103</v>
      </c>
      <c r="E29" s="6" t="s">
        <v>104</v>
      </c>
      <c r="F29" s="6" t="s">
        <v>105</v>
      </c>
      <c r="G29" s="6" t="s">
        <v>80</v>
      </c>
      <c r="H29" s="6"/>
      <c r="I29" s="6" t="s">
        <v>2951</v>
      </c>
      <c r="J29" s="6" t="s">
        <v>2952</v>
      </c>
      <c r="K29" s="6" t="s">
        <v>2953</v>
      </c>
      <c r="L29" s="23" t="s">
        <v>2954</v>
      </c>
      <c r="M29" s="6" t="s">
        <v>33</v>
      </c>
      <c r="N29" s="6"/>
      <c r="O29" s="6"/>
      <c r="P29" s="24"/>
      <c r="Q29" s="6"/>
      <c r="R29" s="6"/>
      <c r="S29" s="6"/>
    </row>
    <row r="30" spans="1:19" x14ac:dyDescent="0.25">
      <c r="A30" s="22" t="s">
        <v>2955</v>
      </c>
      <c r="B30" s="6" t="s">
        <v>2949</v>
      </c>
      <c r="C30" s="6" t="s">
        <v>2956</v>
      </c>
      <c r="D30" s="6" t="s">
        <v>103</v>
      </c>
      <c r="E30" s="6" t="s">
        <v>104</v>
      </c>
      <c r="F30" s="6" t="s">
        <v>105</v>
      </c>
      <c r="G30" s="6" t="s">
        <v>80</v>
      </c>
      <c r="H30" s="6"/>
      <c r="I30" s="6" t="s">
        <v>2957</v>
      </c>
      <c r="J30" s="6" t="s">
        <v>2958</v>
      </c>
      <c r="K30" s="6" t="s">
        <v>2959</v>
      </c>
      <c r="L30" s="23"/>
      <c r="M30" s="6" t="s">
        <v>33</v>
      </c>
      <c r="N30" s="6"/>
      <c r="O30" s="6"/>
      <c r="P30" s="24"/>
      <c r="Q30" s="6"/>
      <c r="R30" s="6"/>
      <c r="S30" s="6"/>
    </row>
    <row r="31" spans="1:19" x14ac:dyDescent="0.25">
      <c r="A31" s="22" t="s">
        <v>2960</v>
      </c>
      <c r="B31" s="6" t="s">
        <v>2949</v>
      </c>
      <c r="C31" s="6" t="s">
        <v>2961</v>
      </c>
      <c r="D31" s="6" t="s">
        <v>103</v>
      </c>
      <c r="E31" s="6" t="s">
        <v>104</v>
      </c>
      <c r="F31" s="6" t="s">
        <v>105</v>
      </c>
      <c r="G31" s="6" t="s">
        <v>80</v>
      </c>
      <c r="H31" s="6"/>
      <c r="I31" s="6" t="s">
        <v>2962</v>
      </c>
      <c r="J31" s="6" t="s">
        <v>2963</v>
      </c>
      <c r="K31" s="6" t="s">
        <v>2964</v>
      </c>
      <c r="L31" s="23"/>
      <c r="M31" s="6" t="s">
        <v>33</v>
      </c>
      <c r="N31" s="6"/>
      <c r="O31" s="6"/>
      <c r="P31" s="24"/>
      <c r="Q31" s="6"/>
      <c r="R31" s="6"/>
      <c r="S31" s="6"/>
    </row>
    <row r="32" spans="1:19" x14ac:dyDescent="0.25">
      <c r="A32" s="22" t="s">
        <v>2965</v>
      </c>
      <c r="B32" s="6" t="s">
        <v>2949</v>
      </c>
      <c r="C32" s="6" t="s">
        <v>2966</v>
      </c>
      <c r="D32" s="6" t="s">
        <v>112</v>
      </c>
      <c r="E32" s="6" t="s">
        <v>113</v>
      </c>
      <c r="F32" s="6" t="s">
        <v>105</v>
      </c>
      <c r="G32" s="6" t="s">
        <v>80</v>
      </c>
      <c r="H32" s="6"/>
      <c r="I32" s="6" t="s">
        <v>2967</v>
      </c>
      <c r="J32" s="6" t="s">
        <v>2968</v>
      </c>
      <c r="K32" s="6" t="s">
        <v>2969</v>
      </c>
      <c r="L32" s="23"/>
      <c r="M32" s="6" t="s">
        <v>33</v>
      </c>
      <c r="N32" s="6"/>
      <c r="O32" s="6"/>
      <c r="P32" s="24"/>
      <c r="Q32" s="6"/>
      <c r="R32" s="6"/>
      <c r="S32" s="6"/>
    </row>
    <row r="33" spans="1:19" x14ac:dyDescent="0.25">
      <c r="A33" s="22" t="s">
        <v>2970</v>
      </c>
      <c r="B33" s="6" t="s">
        <v>2949</v>
      </c>
      <c r="C33" s="6" t="s">
        <v>2971</v>
      </c>
      <c r="D33" s="6" t="s">
        <v>112</v>
      </c>
      <c r="E33" s="6" t="s">
        <v>113</v>
      </c>
      <c r="F33" s="6" t="s">
        <v>105</v>
      </c>
      <c r="G33" s="6" t="s">
        <v>80</v>
      </c>
      <c r="H33" s="6"/>
      <c r="I33" s="6" t="s">
        <v>2972</v>
      </c>
      <c r="J33" s="6" t="s">
        <v>2973</v>
      </c>
      <c r="K33" s="6" t="s">
        <v>2974</v>
      </c>
      <c r="L33" s="23"/>
      <c r="M33" s="6" t="s">
        <v>33</v>
      </c>
      <c r="N33" s="6"/>
      <c r="O33" s="6"/>
      <c r="P33" s="24"/>
      <c r="Q33" s="6"/>
      <c r="R33" s="6"/>
      <c r="S33" s="6"/>
    </row>
    <row r="34" spans="1:19" x14ac:dyDescent="0.25">
      <c r="A34" s="22" t="s">
        <v>2975</v>
      </c>
      <c r="B34" s="6" t="s">
        <v>2949</v>
      </c>
      <c r="C34" s="6" t="s">
        <v>2976</v>
      </c>
      <c r="D34" s="6" t="s">
        <v>140</v>
      </c>
      <c r="E34" s="6" t="s">
        <v>104</v>
      </c>
      <c r="F34" s="6" t="s">
        <v>105</v>
      </c>
      <c r="G34" s="6" t="s">
        <v>80</v>
      </c>
      <c r="H34" s="6"/>
      <c r="I34" s="6" t="s">
        <v>2977</v>
      </c>
      <c r="J34" s="6" t="s">
        <v>2978</v>
      </c>
      <c r="K34" s="6" t="s">
        <v>2979</v>
      </c>
      <c r="L34" s="23"/>
      <c r="M34" s="6" t="s">
        <v>33</v>
      </c>
      <c r="N34" s="6"/>
      <c r="O34" s="6"/>
      <c r="P34" s="24"/>
      <c r="Q34" s="6"/>
      <c r="R34" s="6"/>
      <c r="S34" s="6"/>
    </row>
    <row r="35" spans="1:19" x14ac:dyDescent="0.25">
      <c r="A35" s="22" t="s">
        <v>2980</v>
      </c>
      <c r="B35" s="6" t="s">
        <v>2949</v>
      </c>
      <c r="C35" s="6" t="s">
        <v>2981</v>
      </c>
      <c r="D35" s="6" t="s">
        <v>103</v>
      </c>
      <c r="E35" s="6" t="s">
        <v>113</v>
      </c>
      <c r="F35" s="6" t="s">
        <v>105</v>
      </c>
      <c r="G35" s="6" t="s">
        <v>80</v>
      </c>
      <c r="H35" s="6"/>
      <c r="I35" s="6" t="s">
        <v>2982</v>
      </c>
      <c r="J35" s="6" t="s">
        <v>2983</v>
      </c>
      <c r="K35" s="6" t="s">
        <v>2984</v>
      </c>
      <c r="L35" s="23"/>
      <c r="M35" s="6" t="s">
        <v>33</v>
      </c>
      <c r="N35" s="6"/>
      <c r="O35" s="6"/>
      <c r="P35" s="24"/>
      <c r="Q35" s="6"/>
      <c r="R35" s="6"/>
      <c r="S35" s="6"/>
    </row>
    <row r="36" spans="1:19" x14ac:dyDescent="0.25">
      <c r="A36" s="22" t="s">
        <v>2985</v>
      </c>
      <c r="B36" s="6" t="s">
        <v>2949</v>
      </c>
      <c r="C36" s="6" t="s">
        <v>2986</v>
      </c>
      <c r="D36" s="6" t="s">
        <v>120</v>
      </c>
      <c r="E36" s="6" t="s">
        <v>104</v>
      </c>
      <c r="F36" s="6" t="s">
        <v>127</v>
      </c>
      <c r="G36" s="6" t="s">
        <v>80</v>
      </c>
      <c r="H36" s="6"/>
      <c r="I36" s="6" t="s">
        <v>2924</v>
      </c>
      <c r="J36" s="6" t="s">
        <v>2987</v>
      </c>
      <c r="K36" s="6" t="s">
        <v>2988</v>
      </c>
      <c r="L36" s="23"/>
      <c r="M36" s="6" t="s">
        <v>33</v>
      </c>
      <c r="N36" s="6"/>
      <c r="O36" s="6"/>
      <c r="P36" s="24"/>
      <c r="Q36" s="6"/>
      <c r="R36" s="6"/>
      <c r="S36" s="6"/>
    </row>
    <row r="37" spans="1:19" x14ac:dyDescent="0.25">
      <c r="A37" s="22" t="s">
        <v>2989</v>
      </c>
      <c r="B37" s="6" t="s">
        <v>2949</v>
      </c>
      <c r="C37" s="6" t="s">
        <v>2990</v>
      </c>
      <c r="D37" s="6" t="s">
        <v>140</v>
      </c>
      <c r="E37" s="6" t="s">
        <v>113</v>
      </c>
      <c r="F37" s="6" t="s">
        <v>105</v>
      </c>
      <c r="G37" s="6" t="s">
        <v>80</v>
      </c>
      <c r="H37" s="6"/>
      <c r="I37" s="6" t="s">
        <v>2991</v>
      </c>
      <c r="J37" s="6" t="s">
        <v>2992</v>
      </c>
      <c r="K37" s="6" t="s">
        <v>2993</v>
      </c>
      <c r="L37" s="23"/>
      <c r="M37" s="6" t="s">
        <v>33</v>
      </c>
      <c r="N37" s="6"/>
      <c r="O37" s="6"/>
      <c r="P37" s="24"/>
      <c r="Q37" s="6"/>
      <c r="R37" s="6"/>
      <c r="S37" s="6"/>
    </row>
    <row r="38" spans="1:19" x14ac:dyDescent="0.25">
      <c r="A38" s="22" t="s">
        <v>2994</v>
      </c>
      <c r="B38" s="6" t="s">
        <v>2949</v>
      </c>
      <c r="C38" s="6" t="s">
        <v>2995</v>
      </c>
      <c r="D38" s="6" t="s">
        <v>140</v>
      </c>
      <c r="E38" s="6" t="s">
        <v>104</v>
      </c>
      <c r="F38" s="6" t="s">
        <v>105</v>
      </c>
      <c r="G38" s="6" t="s">
        <v>80</v>
      </c>
      <c r="H38" s="6"/>
      <c r="I38" s="6" t="s">
        <v>2851</v>
      </c>
      <c r="J38" s="6" t="s">
        <v>2996</v>
      </c>
      <c r="K38" s="6" t="s">
        <v>2997</v>
      </c>
      <c r="L38" s="23"/>
      <c r="M38" s="6" t="s">
        <v>33</v>
      </c>
      <c r="N38" s="6"/>
      <c r="O38" s="6"/>
      <c r="P38" s="24"/>
      <c r="Q38" s="6"/>
      <c r="R38" s="6"/>
      <c r="S38" s="6"/>
    </row>
    <row r="39" spans="1:19" x14ac:dyDescent="0.25">
      <c r="A39" s="22" t="s">
        <v>2998</v>
      </c>
      <c r="B39" s="6" t="s">
        <v>2949</v>
      </c>
      <c r="C39" s="6" t="s">
        <v>2999</v>
      </c>
      <c r="D39" s="6" t="s">
        <v>103</v>
      </c>
      <c r="E39" s="6" t="s">
        <v>145</v>
      </c>
      <c r="F39" s="6" t="s">
        <v>105</v>
      </c>
      <c r="G39" s="6" t="s">
        <v>80</v>
      </c>
      <c r="H39" s="6"/>
      <c r="I39" s="6" t="s">
        <v>3000</v>
      </c>
      <c r="J39" s="6" t="s">
        <v>3001</v>
      </c>
      <c r="K39" s="6" t="s">
        <v>3002</v>
      </c>
      <c r="L39" s="23"/>
      <c r="M39" s="6" t="s">
        <v>33</v>
      </c>
      <c r="N39" s="6"/>
      <c r="O39" s="6"/>
      <c r="P39" s="24"/>
      <c r="Q39" s="6"/>
      <c r="R39" s="6"/>
      <c r="S39" s="6"/>
    </row>
    <row r="40" spans="1:19" x14ac:dyDescent="0.25">
      <c r="A40" s="22" t="s">
        <v>3003</v>
      </c>
      <c r="B40" s="6" t="s">
        <v>3004</v>
      </c>
      <c r="C40" s="6" t="s">
        <v>3005</v>
      </c>
      <c r="D40" s="6" t="s">
        <v>103</v>
      </c>
      <c r="E40" s="6" t="s">
        <v>104</v>
      </c>
      <c r="F40" s="6" t="s">
        <v>105</v>
      </c>
      <c r="G40" s="6" t="s">
        <v>80</v>
      </c>
      <c r="H40" s="6"/>
      <c r="I40" s="6" t="s">
        <v>3006</v>
      </c>
      <c r="J40" s="6" t="s">
        <v>3007</v>
      </c>
      <c r="K40" s="6" t="s">
        <v>3008</v>
      </c>
      <c r="L40" s="23" t="s">
        <v>3009</v>
      </c>
      <c r="M40" s="6" t="s">
        <v>33</v>
      </c>
      <c r="N40" s="6"/>
      <c r="O40" s="6"/>
      <c r="P40" s="24"/>
      <c r="Q40" s="6"/>
      <c r="R40" s="6"/>
      <c r="S40" s="6"/>
    </row>
    <row r="41" spans="1:19" x14ac:dyDescent="0.25">
      <c r="A41" s="22" t="s">
        <v>3010</v>
      </c>
      <c r="B41" s="6" t="s">
        <v>3004</v>
      </c>
      <c r="C41" s="6" t="s">
        <v>3011</v>
      </c>
      <c r="D41" s="6" t="s">
        <v>103</v>
      </c>
      <c r="E41" s="6" t="s">
        <v>104</v>
      </c>
      <c r="F41" s="6" t="s">
        <v>105</v>
      </c>
      <c r="G41" s="6" t="s">
        <v>80</v>
      </c>
      <c r="H41" s="6"/>
      <c r="I41" s="6" t="s">
        <v>3012</v>
      </c>
      <c r="J41" s="6" t="s">
        <v>3013</v>
      </c>
      <c r="K41" s="6" t="s">
        <v>3014</v>
      </c>
      <c r="L41" s="23"/>
      <c r="M41" s="6" t="s">
        <v>33</v>
      </c>
      <c r="N41" s="6"/>
      <c r="O41" s="6"/>
      <c r="P41" s="24"/>
      <c r="Q41" s="6"/>
      <c r="R41" s="6"/>
      <c r="S41" s="6"/>
    </row>
    <row r="42" spans="1:19" x14ac:dyDescent="0.25">
      <c r="A42" s="22" t="s">
        <v>3015</v>
      </c>
      <c r="B42" s="6" t="s">
        <v>3004</v>
      </c>
      <c r="C42" s="6" t="s">
        <v>3016</v>
      </c>
      <c r="D42" s="6" t="s">
        <v>103</v>
      </c>
      <c r="E42" s="6" t="s">
        <v>104</v>
      </c>
      <c r="F42" s="6" t="s">
        <v>105</v>
      </c>
      <c r="G42" s="6" t="s">
        <v>80</v>
      </c>
      <c r="H42" s="6"/>
      <c r="I42" s="6" t="s">
        <v>3017</v>
      </c>
      <c r="J42" s="6" t="s">
        <v>3018</v>
      </c>
      <c r="K42" s="6" t="s">
        <v>3019</v>
      </c>
      <c r="L42" s="23"/>
      <c r="M42" s="6" t="s">
        <v>33</v>
      </c>
      <c r="N42" s="6"/>
      <c r="O42" s="6"/>
      <c r="P42" s="24"/>
      <c r="Q42" s="6"/>
      <c r="R42" s="6"/>
      <c r="S42" s="6"/>
    </row>
    <row r="43" spans="1:19" x14ac:dyDescent="0.25">
      <c r="A43" s="22" t="s">
        <v>3020</v>
      </c>
      <c r="B43" s="6" t="s">
        <v>3004</v>
      </c>
      <c r="C43" s="6" t="s">
        <v>3021</v>
      </c>
      <c r="D43" s="6" t="s">
        <v>209</v>
      </c>
      <c r="E43" s="6" t="s">
        <v>104</v>
      </c>
      <c r="F43" s="6" t="s">
        <v>105</v>
      </c>
      <c r="G43" s="6" t="s">
        <v>80</v>
      </c>
      <c r="H43" s="6"/>
      <c r="I43" s="6" t="s">
        <v>3022</v>
      </c>
      <c r="J43" s="6" t="s">
        <v>3023</v>
      </c>
      <c r="K43" s="6" t="s">
        <v>3024</v>
      </c>
      <c r="L43" s="23"/>
      <c r="M43" s="6" t="s">
        <v>33</v>
      </c>
      <c r="N43" s="6"/>
      <c r="O43" s="6"/>
      <c r="P43" s="24"/>
      <c r="Q43" s="6"/>
      <c r="R43" s="6"/>
      <c r="S43" s="6"/>
    </row>
    <row r="44" spans="1:19" x14ac:dyDescent="0.25">
      <c r="A44" s="22" t="s">
        <v>3025</v>
      </c>
      <c r="B44" s="6" t="s">
        <v>3004</v>
      </c>
      <c r="C44" s="6" t="s">
        <v>3026</v>
      </c>
      <c r="D44" s="6" t="s">
        <v>103</v>
      </c>
      <c r="E44" s="6" t="s">
        <v>113</v>
      </c>
      <c r="F44" s="6" t="s">
        <v>105</v>
      </c>
      <c r="G44" s="6" t="s">
        <v>80</v>
      </c>
      <c r="H44" s="6"/>
      <c r="I44" s="6" t="s">
        <v>3022</v>
      </c>
      <c r="J44" s="6" t="s">
        <v>3027</v>
      </c>
      <c r="K44" s="6" t="s">
        <v>3028</v>
      </c>
      <c r="L44" s="23"/>
      <c r="M44" s="6" t="s">
        <v>33</v>
      </c>
      <c r="N44" s="6"/>
      <c r="O44" s="6"/>
      <c r="P44" s="24"/>
      <c r="Q44" s="6"/>
      <c r="R44" s="6"/>
      <c r="S44" s="6"/>
    </row>
    <row r="45" spans="1:19" x14ac:dyDescent="0.25">
      <c r="A45" s="22" t="s">
        <v>3029</v>
      </c>
      <c r="B45" s="6" t="s">
        <v>3004</v>
      </c>
      <c r="C45" s="6" t="s">
        <v>3030</v>
      </c>
      <c r="D45" s="6" t="s">
        <v>112</v>
      </c>
      <c r="E45" s="6" t="s">
        <v>104</v>
      </c>
      <c r="F45" s="6" t="s">
        <v>105</v>
      </c>
      <c r="G45" s="6" t="s">
        <v>80</v>
      </c>
      <c r="H45" s="6"/>
      <c r="I45" s="6" t="s">
        <v>3031</v>
      </c>
      <c r="J45" s="6" t="s">
        <v>3032</v>
      </c>
      <c r="K45" s="6" t="s">
        <v>3033</v>
      </c>
      <c r="L45" s="23"/>
      <c r="M45" s="6" t="s">
        <v>33</v>
      </c>
      <c r="N45" s="6"/>
      <c r="O45" s="6"/>
      <c r="P45" s="24"/>
      <c r="Q45" s="6"/>
      <c r="R45" s="6"/>
      <c r="S45" s="6"/>
    </row>
    <row r="46" spans="1:19" x14ac:dyDescent="0.25">
      <c r="A46" s="22" t="s">
        <v>3034</v>
      </c>
      <c r="B46" s="6" t="s">
        <v>3004</v>
      </c>
      <c r="C46" s="6" t="s">
        <v>3035</v>
      </c>
      <c r="D46" s="6" t="s">
        <v>112</v>
      </c>
      <c r="E46" s="6" t="s">
        <v>104</v>
      </c>
      <c r="F46" s="6" t="s">
        <v>121</v>
      </c>
      <c r="G46" s="6" t="s">
        <v>80</v>
      </c>
      <c r="H46" s="6"/>
      <c r="I46" s="6" t="s">
        <v>3036</v>
      </c>
      <c r="J46" s="6" t="s">
        <v>3037</v>
      </c>
      <c r="K46" s="6" t="s">
        <v>3038</v>
      </c>
      <c r="L46" s="23"/>
      <c r="M46" s="6" t="s">
        <v>33</v>
      </c>
      <c r="N46" s="6"/>
      <c r="O46" s="6"/>
      <c r="P46" s="24"/>
      <c r="Q46" s="6"/>
      <c r="R46" s="6"/>
      <c r="S46" s="6"/>
    </row>
    <row r="47" spans="1:19" x14ac:dyDescent="0.25">
      <c r="A47" s="22" t="s">
        <v>3039</v>
      </c>
      <c r="B47" s="6" t="s">
        <v>3004</v>
      </c>
      <c r="C47" s="6" t="s">
        <v>3040</v>
      </c>
      <c r="D47" s="6" t="s">
        <v>112</v>
      </c>
      <c r="E47" s="6" t="s">
        <v>104</v>
      </c>
      <c r="F47" s="6" t="s">
        <v>105</v>
      </c>
      <c r="G47" s="6" t="s">
        <v>80</v>
      </c>
      <c r="H47" s="6"/>
      <c r="I47" s="6" t="s">
        <v>3041</v>
      </c>
      <c r="J47" s="6" t="s">
        <v>3042</v>
      </c>
      <c r="K47" s="6" t="s">
        <v>3043</v>
      </c>
      <c r="L47" s="23" t="s">
        <v>3044</v>
      </c>
      <c r="M47" s="6" t="s">
        <v>33</v>
      </c>
      <c r="N47" s="6"/>
      <c r="O47" s="6"/>
      <c r="P47" s="24"/>
      <c r="Q47" s="6"/>
      <c r="R47" s="6"/>
      <c r="S47" s="6"/>
    </row>
    <row r="48" spans="1:19" x14ac:dyDescent="0.25">
      <c r="A48" s="22" t="s">
        <v>3045</v>
      </c>
      <c r="B48" s="6" t="s">
        <v>3004</v>
      </c>
      <c r="C48" s="6" t="s">
        <v>3046</v>
      </c>
      <c r="D48" s="6" t="s">
        <v>112</v>
      </c>
      <c r="E48" s="6" t="s">
        <v>113</v>
      </c>
      <c r="F48" s="6" t="s">
        <v>105</v>
      </c>
      <c r="G48" s="6" t="s">
        <v>80</v>
      </c>
      <c r="H48" s="6"/>
      <c r="I48" s="6" t="s">
        <v>3047</v>
      </c>
      <c r="J48" s="6" t="s">
        <v>3048</v>
      </c>
      <c r="K48" s="6" t="s">
        <v>3049</v>
      </c>
      <c r="L48" s="23"/>
      <c r="M48" s="6" t="s">
        <v>33</v>
      </c>
      <c r="N48" s="6"/>
      <c r="O48" s="6"/>
      <c r="P48" s="24"/>
      <c r="Q48" s="6"/>
      <c r="R48" s="6"/>
      <c r="S48" s="6"/>
    </row>
    <row r="49" spans="1:19" x14ac:dyDescent="0.25">
      <c r="A49" s="22" t="s">
        <v>3050</v>
      </c>
      <c r="B49" s="6" t="s">
        <v>1951</v>
      </c>
      <c r="C49" s="6" t="s">
        <v>3051</v>
      </c>
      <c r="D49" s="6" t="s">
        <v>103</v>
      </c>
      <c r="E49" s="6" t="s">
        <v>113</v>
      </c>
      <c r="F49" s="6" t="s">
        <v>105</v>
      </c>
      <c r="G49" s="6" t="s">
        <v>80</v>
      </c>
      <c r="H49" s="6"/>
      <c r="I49" s="6" t="s">
        <v>3052</v>
      </c>
      <c r="J49" s="6" t="s">
        <v>3053</v>
      </c>
      <c r="K49" s="6" t="s">
        <v>3054</v>
      </c>
      <c r="L49" s="23"/>
      <c r="M49" s="6" t="s">
        <v>33</v>
      </c>
      <c r="N49" s="6"/>
      <c r="O49" s="6"/>
      <c r="P49" s="24"/>
      <c r="Q49" s="6"/>
      <c r="R49" s="6"/>
      <c r="S49" s="6"/>
    </row>
    <row r="50" spans="1:19" x14ac:dyDescent="0.25">
      <c r="A50" s="22" t="s">
        <v>3055</v>
      </c>
      <c r="B50" s="6" t="s">
        <v>1951</v>
      </c>
      <c r="C50" s="6" t="s">
        <v>3056</v>
      </c>
      <c r="D50" s="6" t="s">
        <v>112</v>
      </c>
      <c r="E50" s="6" t="s">
        <v>104</v>
      </c>
      <c r="F50" s="6" t="s">
        <v>105</v>
      </c>
      <c r="G50" s="6" t="s">
        <v>80</v>
      </c>
      <c r="H50" s="6"/>
      <c r="I50" s="6" t="s">
        <v>3057</v>
      </c>
      <c r="J50" s="6" t="s">
        <v>3058</v>
      </c>
      <c r="K50" s="6" t="s">
        <v>3059</v>
      </c>
      <c r="L50" s="23"/>
      <c r="M50" s="6" t="s">
        <v>33</v>
      </c>
      <c r="N50" s="6"/>
      <c r="O50" s="6"/>
      <c r="P50" s="24"/>
      <c r="Q50" s="6"/>
      <c r="R50" s="6"/>
      <c r="S50" s="6"/>
    </row>
    <row r="51" spans="1:19" x14ac:dyDescent="0.25">
      <c r="A51" s="22" t="s">
        <v>3060</v>
      </c>
      <c r="B51" s="6" t="s">
        <v>3004</v>
      </c>
      <c r="C51" s="6" t="s">
        <v>3061</v>
      </c>
      <c r="D51" s="6" t="s">
        <v>120</v>
      </c>
      <c r="E51" s="6" t="s">
        <v>104</v>
      </c>
      <c r="F51" s="6" t="s">
        <v>127</v>
      </c>
      <c r="G51" s="6" t="s">
        <v>80</v>
      </c>
      <c r="H51" s="6"/>
      <c r="I51" s="6" t="s">
        <v>3062</v>
      </c>
      <c r="J51" s="6" t="s">
        <v>3063</v>
      </c>
      <c r="K51" s="6" t="s">
        <v>3064</v>
      </c>
      <c r="L51" s="23"/>
      <c r="M51" s="6" t="s">
        <v>33</v>
      </c>
      <c r="N51" s="6"/>
      <c r="O51" s="6"/>
      <c r="P51" s="24"/>
      <c r="Q51" s="6"/>
      <c r="R51" s="6"/>
      <c r="S51" s="6"/>
    </row>
    <row r="52" spans="1:19" x14ac:dyDescent="0.25">
      <c r="A52" s="22" t="s">
        <v>3065</v>
      </c>
      <c r="B52" s="6" t="s">
        <v>3004</v>
      </c>
      <c r="C52" s="6" t="s">
        <v>3066</v>
      </c>
      <c r="D52" s="6" t="s">
        <v>140</v>
      </c>
      <c r="E52" s="6" t="s">
        <v>104</v>
      </c>
      <c r="F52" s="6" t="s">
        <v>105</v>
      </c>
      <c r="G52" s="6" t="s">
        <v>80</v>
      </c>
      <c r="H52" s="6"/>
      <c r="I52" s="6" t="s">
        <v>2851</v>
      </c>
      <c r="J52" s="6" t="s">
        <v>3067</v>
      </c>
      <c r="K52" s="6" t="s">
        <v>3068</v>
      </c>
      <c r="L52" s="23"/>
      <c r="M52" s="6" t="s">
        <v>33</v>
      </c>
      <c r="N52" s="6"/>
      <c r="O52" s="6"/>
      <c r="P52" s="24"/>
      <c r="Q52" s="6"/>
      <c r="R52" s="6"/>
      <c r="S52" s="6"/>
    </row>
    <row r="53" spans="1:19" x14ac:dyDescent="0.25">
      <c r="A53" s="22" t="s">
        <v>3069</v>
      </c>
      <c r="B53" s="6" t="s">
        <v>3070</v>
      </c>
      <c r="C53" s="6" t="s">
        <v>3071</v>
      </c>
      <c r="D53" s="6" t="s">
        <v>103</v>
      </c>
      <c r="E53" s="6" t="s">
        <v>113</v>
      </c>
      <c r="F53" s="6" t="s">
        <v>105</v>
      </c>
      <c r="G53" s="6" t="s">
        <v>80</v>
      </c>
      <c r="H53" s="6"/>
      <c r="I53" s="6" t="s">
        <v>3072</v>
      </c>
      <c r="J53" s="6" t="s">
        <v>3073</v>
      </c>
      <c r="K53" s="6" t="s">
        <v>3074</v>
      </c>
      <c r="L53" s="23"/>
      <c r="M53" s="6" t="s">
        <v>33</v>
      </c>
      <c r="N53" s="6"/>
      <c r="O53" s="6"/>
      <c r="P53" s="24"/>
      <c r="Q53" s="6"/>
      <c r="R53" s="6"/>
      <c r="S53" s="6"/>
    </row>
    <row r="54" spans="1:19" x14ac:dyDescent="0.25">
      <c r="A54" s="22" t="s">
        <v>3075</v>
      </c>
      <c r="B54" s="6" t="s">
        <v>3070</v>
      </c>
      <c r="C54" s="6" t="s">
        <v>3076</v>
      </c>
      <c r="D54" s="6" t="s">
        <v>103</v>
      </c>
      <c r="E54" s="6" t="s">
        <v>104</v>
      </c>
      <c r="F54" s="6" t="s">
        <v>105</v>
      </c>
      <c r="G54" s="6" t="s">
        <v>80</v>
      </c>
      <c r="H54" s="6"/>
      <c r="I54" s="6" t="s">
        <v>2851</v>
      </c>
      <c r="J54" s="6" t="s">
        <v>3077</v>
      </c>
      <c r="K54" s="6" t="s">
        <v>3078</v>
      </c>
      <c r="L54" s="23"/>
      <c r="M54" s="6" t="s">
        <v>33</v>
      </c>
      <c r="N54" s="6"/>
      <c r="O54" s="6"/>
      <c r="P54" s="24"/>
      <c r="Q54" s="6"/>
      <c r="R54" s="6"/>
      <c r="S54" s="6"/>
    </row>
    <row r="55" spans="1:19" x14ac:dyDescent="0.25">
      <c r="A55" s="22" t="s">
        <v>3079</v>
      </c>
      <c r="B55" s="6" t="s">
        <v>3070</v>
      </c>
      <c r="C55" s="6" t="s">
        <v>3080</v>
      </c>
      <c r="D55" s="6" t="s">
        <v>209</v>
      </c>
      <c r="E55" s="6" t="s">
        <v>104</v>
      </c>
      <c r="F55" s="6" t="s">
        <v>105</v>
      </c>
      <c r="G55" s="6" t="s">
        <v>80</v>
      </c>
      <c r="H55" s="6"/>
      <c r="I55" s="6" t="s">
        <v>3081</v>
      </c>
      <c r="J55" s="6" t="s">
        <v>3082</v>
      </c>
      <c r="K55" s="6" t="s">
        <v>3083</v>
      </c>
      <c r="L55" s="23"/>
      <c r="M55" s="6" t="s">
        <v>33</v>
      </c>
      <c r="N55" s="6"/>
      <c r="O55" s="6"/>
      <c r="P55" s="24"/>
      <c r="Q55" s="6"/>
      <c r="R55" s="6"/>
      <c r="S55" s="6"/>
    </row>
    <row r="56" spans="1:19" x14ac:dyDescent="0.25">
      <c r="A56" s="22" t="s">
        <v>3084</v>
      </c>
      <c r="B56" s="6" t="s">
        <v>3070</v>
      </c>
      <c r="C56" s="6" t="s">
        <v>3085</v>
      </c>
      <c r="D56" s="6" t="s">
        <v>103</v>
      </c>
      <c r="E56" s="6" t="s">
        <v>104</v>
      </c>
      <c r="F56" s="6" t="s">
        <v>105</v>
      </c>
      <c r="G56" s="6" t="s">
        <v>80</v>
      </c>
      <c r="H56" s="6"/>
      <c r="I56" s="6" t="s">
        <v>3086</v>
      </c>
      <c r="J56" s="6" t="s">
        <v>3087</v>
      </c>
      <c r="K56" s="6" t="s">
        <v>3088</v>
      </c>
      <c r="L56" s="23"/>
      <c r="M56" s="6" t="s">
        <v>33</v>
      </c>
      <c r="N56" s="6"/>
      <c r="O56" s="6"/>
      <c r="P56" s="24"/>
      <c r="Q56" s="6"/>
      <c r="R56" s="6"/>
      <c r="S56" s="6"/>
    </row>
    <row r="57" spans="1:19" x14ac:dyDescent="0.25">
      <c r="A57" s="22" t="s">
        <v>3089</v>
      </c>
      <c r="B57" s="6" t="s">
        <v>3070</v>
      </c>
      <c r="C57" s="6" t="s">
        <v>3090</v>
      </c>
      <c r="D57" s="6" t="s">
        <v>112</v>
      </c>
      <c r="E57" s="6" t="s">
        <v>104</v>
      </c>
      <c r="F57" s="6" t="s">
        <v>105</v>
      </c>
      <c r="G57" s="6" t="s">
        <v>80</v>
      </c>
      <c r="H57" s="6"/>
      <c r="I57" s="6" t="s">
        <v>3091</v>
      </c>
      <c r="J57" s="6" t="s">
        <v>3092</v>
      </c>
      <c r="K57" s="6" t="s">
        <v>3093</v>
      </c>
      <c r="L57" s="23"/>
      <c r="M57" s="6" t="s">
        <v>33</v>
      </c>
      <c r="N57" s="6"/>
      <c r="O57" s="6"/>
      <c r="P57" s="24"/>
      <c r="Q57" s="6"/>
      <c r="R57" s="6"/>
      <c r="S57" s="6"/>
    </row>
    <row r="58" spans="1:19" x14ac:dyDescent="0.25">
      <c r="A58" s="22" t="s">
        <v>3094</v>
      </c>
      <c r="B58" s="6" t="s">
        <v>3070</v>
      </c>
      <c r="C58" s="6" t="s">
        <v>3095</v>
      </c>
      <c r="D58" s="6" t="s">
        <v>209</v>
      </c>
      <c r="E58" s="6" t="s">
        <v>113</v>
      </c>
      <c r="F58" s="6" t="s">
        <v>105</v>
      </c>
      <c r="G58" s="6" t="s">
        <v>80</v>
      </c>
      <c r="H58" s="6"/>
      <c r="I58" s="6" t="s">
        <v>3096</v>
      </c>
      <c r="J58" s="6" t="s">
        <v>3097</v>
      </c>
      <c r="K58" s="6" t="s">
        <v>3098</v>
      </c>
      <c r="L58" s="23"/>
      <c r="M58" s="6" t="s">
        <v>33</v>
      </c>
      <c r="N58" s="6"/>
      <c r="O58" s="6"/>
      <c r="P58" s="24"/>
      <c r="Q58" s="6"/>
      <c r="R58" s="6"/>
      <c r="S58" s="6"/>
    </row>
    <row r="59" spans="1:19" x14ac:dyDescent="0.25">
      <c r="A59" s="22" t="s">
        <v>3099</v>
      </c>
      <c r="B59" s="6" t="s">
        <v>3100</v>
      </c>
      <c r="C59" s="6" t="s">
        <v>3101</v>
      </c>
      <c r="D59" s="6" t="s">
        <v>103</v>
      </c>
      <c r="E59" s="6" t="s">
        <v>104</v>
      </c>
      <c r="F59" s="6" t="s">
        <v>105</v>
      </c>
      <c r="G59" s="6" t="s">
        <v>80</v>
      </c>
      <c r="H59" s="6"/>
      <c r="I59" s="6" t="s">
        <v>3102</v>
      </c>
      <c r="J59" s="6" t="s">
        <v>3103</v>
      </c>
      <c r="K59" s="6" t="s">
        <v>3104</v>
      </c>
      <c r="L59" s="23"/>
      <c r="M59" s="6" t="s">
        <v>33</v>
      </c>
      <c r="N59" s="6"/>
      <c r="O59" s="6"/>
      <c r="P59" s="24"/>
      <c r="Q59" s="6"/>
      <c r="R59" s="6"/>
      <c r="S59" s="6"/>
    </row>
    <row r="60" spans="1:19" x14ac:dyDescent="0.25">
      <c r="A60" s="22" t="s">
        <v>3105</v>
      </c>
      <c r="B60" s="6" t="s">
        <v>3100</v>
      </c>
      <c r="C60" s="6" t="s">
        <v>3106</v>
      </c>
      <c r="D60" s="6" t="s">
        <v>103</v>
      </c>
      <c r="E60" s="6" t="s">
        <v>113</v>
      </c>
      <c r="F60" s="6" t="s">
        <v>105</v>
      </c>
      <c r="G60" s="6" t="s">
        <v>80</v>
      </c>
      <c r="H60" s="6"/>
      <c r="I60" s="6" t="s">
        <v>3107</v>
      </c>
      <c r="J60" s="6" t="s">
        <v>3108</v>
      </c>
      <c r="K60" s="6" t="s">
        <v>3109</v>
      </c>
      <c r="L60" s="23"/>
      <c r="M60" s="6" t="s">
        <v>33</v>
      </c>
      <c r="N60" s="6"/>
      <c r="O60" s="6"/>
      <c r="P60" s="24"/>
      <c r="Q60" s="6"/>
      <c r="R60" s="6"/>
      <c r="S60" s="6"/>
    </row>
    <row r="61" spans="1:19" x14ac:dyDescent="0.25">
      <c r="A61" s="22" t="s">
        <v>3110</v>
      </c>
      <c r="B61" s="6" t="s">
        <v>3100</v>
      </c>
      <c r="C61" s="6" t="s">
        <v>3111</v>
      </c>
      <c r="D61" s="6" t="s">
        <v>209</v>
      </c>
      <c r="E61" s="6" t="s">
        <v>113</v>
      </c>
      <c r="F61" s="6" t="s">
        <v>105</v>
      </c>
      <c r="G61" s="6" t="s">
        <v>80</v>
      </c>
      <c r="H61" s="6"/>
      <c r="I61" s="6" t="s">
        <v>3112</v>
      </c>
      <c r="J61" s="6" t="s">
        <v>3113</v>
      </c>
      <c r="K61" s="6" t="s">
        <v>3114</v>
      </c>
      <c r="L61" s="23"/>
      <c r="M61" s="6" t="s">
        <v>33</v>
      </c>
      <c r="N61" s="6"/>
      <c r="O61" s="6"/>
      <c r="P61" s="24"/>
      <c r="Q61" s="6"/>
      <c r="R61" s="6"/>
      <c r="S61" s="6"/>
    </row>
    <row r="62" spans="1:19" x14ac:dyDescent="0.25">
      <c r="A62" s="22" t="s">
        <v>3115</v>
      </c>
      <c r="B62" s="6" t="s">
        <v>3100</v>
      </c>
      <c r="C62" s="6" t="s">
        <v>3116</v>
      </c>
      <c r="D62" s="6" t="s">
        <v>103</v>
      </c>
      <c r="E62" s="6" t="s">
        <v>104</v>
      </c>
      <c r="F62" s="6" t="s">
        <v>105</v>
      </c>
      <c r="G62" s="6" t="s">
        <v>80</v>
      </c>
      <c r="H62" s="6"/>
      <c r="I62" s="6" t="s">
        <v>3117</v>
      </c>
      <c r="J62" s="6" t="s">
        <v>3118</v>
      </c>
      <c r="K62" s="6" t="s">
        <v>3119</v>
      </c>
      <c r="L62" s="23"/>
      <c r="M62" s="6" t="s">
        <v>33</v>
      </c>
      <c r="N62" s="6"/>
      <c r="O62" s="6"/>
      <c r="P62" s="24"/>
      <c r="Q62" s="6"/>
      <c r="R62" s="6"/>
      <c r="S62" s="6"/>
    </row>
    <row r="63" spans="1:19" x14ac:dyDescent="0.25">
      <c r="A63" s="22" t="s">
        <v>3120</v>
      </c>
      <c r="B63" s="6" t="s">
        <v>3100</v>
      </c>
      <c r="C63" s="6" t="s">
        <v>3121</v>
      </c>
      <c r="D63" s="6" t="s">
        <v>103</v>
      </c>
      <c r="E63" s="6" t="s">
        <v>113</v>
      </c>
      <c r="F63" s="6" t="s">
        <v>105</v>
      </c>
      <c r="G63" s="6" t="s">
        <v>80</v>
      </c>
      <c r="H63" s="6"/>
      <c r="I63" s="6" t="s">
        <v>3122</v>
      </c>
      <c r="J63" s="6" t="s">
        <v>3123</v>
      </c>
      <c r="K63" s="6" t="s">
        <v>3124</v>
      </c>
      <c r="L63" s="23"/>
      <c r="M63" s="6" t="s">
        <v>33</v>
      </c>
      <c r="N63" s="6"/>
      <c r="O63" s="6"/>
      <c r="P63" s="24"/>
      <c r="Q63" s="6"/>
      <c r="R63" s="6"/>
      <c r="S63" s="6"/>
    </row>
    <row r="64" spans="1:19" x14ac:dyDescent="0.25">
      <c r="A64" s="22" t="s">
        <v>3125</v>
      </c>
      <c r="B64" s="6" t="s">
        <v>3100</v>
      </c>
      <c r="C64" s="6" t="s">
        <v>3126</v>
      </c>
      <c r="D64" s="6" t="s">
        <v>140</v>
      </c>
      <c r="E64" s="6" t="s">
        <v>104</v>
      </c>
      <c r="F64" s="6" t="s">
        <v>105</v>
      </c>
      <c r="G64" s="6" t="s">
        <v>80</v>
      </c>
      <c r="H64" s="6"/>
      <c r="I64" s="6" t="s">
        <v>2851</v>
      </c>
      <c r="J64" s="6" t="s">
        <v>3127</v>
      </c>
      <c r="K64" s="6" t="s">
        <v>3128</v>
      </c>
      <c r="L64" s="23"/>
      <c r="M64" s="6" t="s">
        <v>33</v>
      </c>
      <c r="N64" s="6"/>
      <c r="O64" s="6"/>
      <c r="P64" s="24"/>
      <c r="Q64" s="6"/>
      <c r="R64" s="6"/>
      <c r="S64" s="6"/>
    </row>
    <row r="65" spans="1:19" x14ac:dyDescent="0.25">
      <c r="A65" s="22" t="s">
        <v>3129</v>
      </c>
      <c r="B65" s="6" t="s">
        <v>3070</v>
      </c>
      <c r="C65" s="6" t="s">
        <v>3130</v>
      </c>
      <c r="D65" s="6" t="s">
        <v>120</v>
      </c>
      <c r="E65" s="6" t="s">
        <v>104</v>
      </c>
      <c r="F65" s="6" t="s">
        <v>127</v>
      </c>
      <c r="G65" s="6" t="s">
        <v>80</v>
      </c>
      <c r="H65" s="6"/>
      <c r="I65" s="6" t="s">
        <v>3131</v>
      </c>
      <c r="J65" s="6" t="s">
        <v>3132</v>
      </c>
      <c r="K65" s="6" t="s">
        <v>3133</v>
      </c>
      <c r="L65" s="23"/>
      <c r="M65" s="6" t="s">
        <v>33</v>
      </c>
      <c r="N65" s="6"/>
      <c r="O65" s="6"/>
      <c r="P65" s="24"/>
      <c r="Q65" s="6"/>
      <c r="R65" s="6"/>
      <c r="S65" s="6"/>
    </row>
    <row r="66" spans="1:19" x14ac:dyDescent="0.25">
      <c r="A66" s="22" t="s">
        <v>3134</v>
      </c>
      <c r="B66" s="6" t="s">
        <v>3100</v>
      </c>
      <c r="C66" s="6" t="s">
        <v>3135</v>
      </c>
      <c r="D66" s="6" t="s">
        <v>120</v>
      </c>
      <c r="E66" s="6" t="s">
        <v>113</v>
      </c>
      <c r="F66" s="6" t="s">
        <v>127</v>
      </c>
      <c r="G66" s="6" t="s">
        <v>80</v>
      </c>
      <c r="H66" s="6"/>
      <c r="I66" s="6" t="s">
        <v>3136</v>
      </c>
      <c r="J66" s="6" t="s">
        <v>3137</v>
      </c>
      <c r="K66" s="6" t="s">
        <v>3138</v>
      </c>
      <c r="L66" s="23"/>
      <c r="M66" s="6" t="s">
        <v>33</v>
      </c>
      <c r="N66" s="6"/>
      <c r="O66" s="6"/>
      <c r="P66" s="24"/>
      <c r="Q66" s="6"/>
      <c r="R66" s="6"/>
      <c r="S66" s="6"/>
    </row>
    <row r="67" spans="1:19" x14ac:dyDescent="0.25">
      <c r="A67" s="22" t="s">
        <v>3139</v>
      </c>
      <c r="B67" s="6" t="s">
        <v>3140</v>
      </c>
      <c r="C67" s="6" t="s">
        <v>3141</v>
      </c>
      <c r="D67" s="6" t="s">
        <v>103</v>
      </c>
      <c r="E67" s="6" t="s">
        <v>104</v>
      </c>
      <c r="F67" s="6" t="s">
        <v>121</v>
      </c>
      <c r="G67" s="6" t="s">
        <v>80</v>
      </c>
      <c r="H67" s="6"/>
      <c r="I67" s="6" t="s">
        <v>3142</v>
      </c>
      <c r="J67" s="6" t="s">
        <v>3143</v>
      </c>
      <c r="K67" s="6" t="s">
        <v>3144</v>
      </c>
      <c r="L67" s="23"/>
      <c r="M67" s="6" t="s">
        <v>33</v>
      </c>
      <c r="N67" s="6"/>
      <c r="O67" s="6"/>
      <c r="P67" s="24"/>
      <c r="Q67" s="6"/>
      <c r="R67" s="6"/>
      <c r="S67" s="6"/>
    </row>
    <row r="68" spans="1:19" x14ac:dyDescent="0.25">
      <c r="A68" s="22" t="s">
        <v>3145</v>
      </c>
      <c r="B68" s="6" t="s">
        <v>3140</v>
      </c>
      <c r="C68" s="6" t="s">
        <v>3146</v>
      </c>
      <c r="D68" s="6" t="s">
        <v>120</v>
      </c>
      <c r="E68" s="6" t="s">
        <v>104</v>
      </c>
      <c r="F68" s="6" t="s">
        <v>127</v>
      </c>
      <c r="G68" s="6" t="s">
        <v>80</v>
      </c>
      <c r="H68" s="6"/>
      <c r="I68" s="6" t="s">
        <v>3147</v>
      </c>
      <c r="J68" s="6" t="s">
        <v>3148</v>
      </c>
      <c r="K68" s="6" t="s">
        <v>3149</v>
      </c>
      <c r="L68" s="23"/>
      <c r="M68" s="6" t="s">
        <v>33</v>
      </c>
      <c r="N68" s="6"/>
      <c r="O68" s="6"/>
      <c r="P68" s="24"/>
      <c r="Q68" s="6"/>
      <c r="R68" s="6"/>
      <c r="S68" s="6"/>
    </row>
    <row r="69" spans="1:19" x14ac:dyDescent="0.25">
      <c r="A69" s="22" t="s">
        <v>3150</v>
      </c>
      <c r="B69" s="6" t="s">
        <v>3140</v>
      </c>
      <c r="C69" s="6" t="s">
        <v>3151</v>
      </c>
      <c r="D69" s="6" t="s">
        <v>103</v>
      </c>
      <c r="E69" s="6" t="s">
        <v>113</v>
      </c>
      <c r="F69" s="6" t="s">
        <v>105</v>
      </c>
      <c r="G69" s="6" t="s">
        <v>80</v>
      </c>
      <c r="H69" s="6"/>
      <c r="I69" s="6" t="s">
        <v>3152</v>
      </c>
      <c r="J69" s="6" t="s">
        <v>3153</v>
      </c>
      <c r="K69" s="6" t="s">
        <v>3154</v>
      </c>
      <c r="L69" s="23"/>
      <c r="M69" s="6" t="s">
        <v>33</v>
      </c>
      <c r="N69" s="6"/>
      <c r="O69" s="6"/>
      <c r="P69" s="24"/>
      <c r="Q69" s="6"/>
      <c r="R69" s="6"/>
      <c r="S69" s="6"/>
    </row>
    <row r="70" spans="1:19" x14ac:dyDescent="0.25">
      <c r="A70" s="22" t="s">
        <v>3155</v>
      </c>
      <c r="B70" s="6" t="s">
        <v>3140</v>
      </c>
      <c r="C70" s="6" t="s">
        <v>3156</v>
      </c>
      <c r="D70" s="6" t="s">
        <v>103</v>
      </c>
      <c r="E70" s="6" t="s">
        <v>113</v>
      </c>
      <c r="F70" s="6" t="s">
        <v>105</v>
      </c>
      <c r="G70" s="6" t="s">
        <v>80</v>
      </c>
      <c r="H70" s="6"/>
      <c r="I70" s="6" t="s">
        <v>3157</v>
      </c>
      <c r="J70" s="6" t="s">
        <v>3158</v>
      </c>
      <c r="K70" s="6" t="s">
        <v>3159</v>
      </c>
      <c r="L70" s="23" t="s">
        <v>3160</v>
      </c>
      <c r="M70" s="6" t="s">
        <v>33</v>
      </c>
      <c r="N70" s="6"/>
      <c r="O70" s="6"/>
      <c r="P70" s="24"/>
      <c r="Q70" s="6"/>
      <c r="R70" s="6"/>
      <c r="S70" s="6"/>
    </row>
    <row r="71" spans="1:19" x14ac:dyDescent="0.25">
      <c r="A71" s="22" t="s">
        <v>3161</v>
      </c>
      <c r="B71" s="6" t="s">
        <v>3162</v>
      </c>
      <c r="C71" s="6" t="s">
        <v>3163</v>
      </c>
      <c r="D71" s="6" t="s">
        <v>103</v>
      </c>
      <c r="E71" s="6" t="s">
        <v>113</v>
      </c>
      <c r="F71" s="6" t="s">
        <v>105</v>
      </c>
      <c r="G71" s="6" t="s">
        <v>80</v>
      </c>
      <c r="H71" s="6"/>
      <c r="I71" s="6" t="s">
        <v>3164</v>
      </c>
      <c r="J71" s="6" t="s">
        <v>3165</v>
      </c>
      <c r="K71" s="6" t="s">
        <v>3166</v>
      </c>
      <c r="L71" s="23"/>
      <c r="M71" s="6" t="s">
        <v>33</v>
      </c>
      <c r="N71" s="6"/>
      <c r="O71" s="6"/>
      <c r="P71" s="24"/>
      <c r="Q71" s="6"/>
      <c r="R71" s="6"/>
      <c r="S71" s="6"/>
    </row>
    <row r="72" spans="1:19" x14ac:dyDescent="0.25">
      <c r="A72" s="22" t="s">
        <v>3167</v>
      </c>
      <c r="B72" s="6" t="s">
        <v>3162</v>
      </c>
      <c r="C72" s="6" t="s">
        <v>3168</v>
      </c>
      <c r="D72" s="6" t="s">
        <v>120</v>
      </c>
      <c r="E72" s="6" t="s">
        <v>145</v>
      </c>
      <c r="F72" s="6" t="s">
        <v>127</v>
      </c>
      <c r="G72" s="6" t="s">
        <v>80</v>
      </c>
      <c r="H72" s="6"/>
      <c r="I72" s="6" t="s">
        <v>3169</v>
      </c>
      <c r="J72" s="6" t="s">
        <v>3170</v>
      </c>
      <c r="K72" s="6" t="s">
        <v>3171</v>
      </c>
      <c r="L72" s="23"/>
      <c r="M72" s="6" t="s">
        <v>33</v>
      </c>
      <c r="N72" s="6"/>
      <c r="O72" s="6"/>
      <c r="P72" s="24"/>
      <c r="Q72" s="6"/>
      <c r="R72" s="6"/>
      <c r="S72" s="6"/>
    </row>
    <row r="73" spans="1:19" x14ac:dyDescent="0.25">
      <c r="A73" s="22" t="s">
        <v>3172</v>
      </c>
      <c r="B73" s="6" t="s">
        <v>3140</v>
      </c>
      <c r="C73" s="6" t="s">
        <v>3173</v>
      </c>
      <c r="D73" s="6" t="s">
        <v>140</v>
      </c>
      <c r="E73" s="6" t="s">
        <v>104</v>
      </c>
      <c r="F73" s="6" t="s">
        <v>105</v>
      </c>
      <c r="G73" s="6" t="s">
        <v>80</v>
      </c>
      <c r="H73" s="6"/>
      <c r="I73" s="6" t="s">
        <v>2851</v>
      </c>
      <c r="J73" s="6" t="s">
        <v>3174</v>
      </c>
      <c r="K73" s="6" t="s">
        <v>3175</v>
      </c>
      <c r="L73" s="23"/>
      <c r="M73" s="6" t="s">
        <v>33</v>
      </c>
      <c r="N73" s="6"/>
      <c r="O73" s="6"/>
      <c r="P73" s="24"/>
      <c r="Q73" s="6"/>
      <c r="R73" s="6"/>
      <c r="S73" s="6"/>
    </row>
    <row r="74" spans="1:19" x14ac:dyDescent="0.25">
      <c r="A74" s="22" t="s">
        <v>3176</v>
      </c>
      <c r="B74" s="6" t="s">
        <v>2057</v>
      </c>
      <c r="C74" s="6" t="s">
        <v>3177</v>
      </c>
      <c r="D74" s="6" t="s">
        <v>103</v>
      </c>
      <c r="E74" s="6" t="s">
        <v>104</v>
      </c>
      <c r="F74" s="6" t="s">
        <v>105</v>
      </c>
      <c r="G74" s="6" t="s">
        <v>80</v>
      </c>
      <c r="H74" s="6"/>
      <c r="I74" s="6" t="s">
        <v>3178</v>
      </c>
      <c r="J74" s="6" t="s">
        <v>3179</v>
      </c>
      <c r="K74" s="6" t="s">
        <v>3180</v>
      </c>
      <c r="L74" s="23"/>
      <c r="M74" s="6" t="s">
        <v>33</v>
      </c>
      <c r="N74" s="6"/>
      <c r="O74" s="6"/>
      <c r="P74" s="24"/>
      <c r="Q74" s="6"/>
      <c r="R74" s="6"/>
      <c r="S74" s="6"/>
    </row>
    <row r="75" spans="1:19" x14ac:dyDescent="0.25">
      <c r="A75" s="22" t="s">
        <v>3181</v>
      </c>
      <c r="B75" s="6" t="s">
        <v>2057</v>
      </c>
      <c r="C75" s="6" t="s">
        <v>3182</v>
      </c>
      <c r="D75" s="6" t="s">
        <v>140</v>
      </c>
      <c r="E75" s="6" t="s">
        <v>104</v>
      </c>
      <c r="F75" s="6" t="s">
        <v>105</v>
      </c>
      <c r="G75" s="6" t="s">
        <v>80</v>
      </c>
      <c r="H75" s="6"/>
      <c r="I75" s="6" t="s">
        <v>3183</v>
      </c>
      <c r="J75" s="6" t="s">
        <v>3184</v>
      </c>
      <c r="K75" s="6" t="s">
        <v>3185</v>
      </c>
      <c r="L75" s="23"/>
      <c r="M75" s="6" t="s">
        <v>33</v>
      </c>
      <c r="N75" s="6"/>
      <c r="O75" s="6"/>
      <c r="P75" s="24"/>
      <c r="Q75" s="6"/>
      <c r="R75" s="6"/>
      <c r="S75" s="6"/>
    </row>
    <row r="76" spans="1:19" x14ac:dyDescent="0.25">
      <c r="A76" s="22" t="s">
        <v>3186</v>
      </c>
      <c r="B76" s="6" t="s">
        <v>2057</v>
      </c>
      <c r="C76" s="6" t="s">
        <v>3187</v>
      </c>
      <c r="D76" s="6" t="s">
        <v>120</v>
      </c>
      <c r="E76" s="6" t="s">
        <v>113</v>
      </c>
      <c r="F76" s="6" t="s">
        <v>127</v>
      </c>
      <c r="G76" s="6" t="s">
        <v>80</v>
      </c>
      <c r="H76" s="6"/>
      <c r="I76" s="6" t="s">
        <v>3188</v>
      </c>
      <c r="J76" s="6" t="s">
        <v>3189</v>
      </c>
      <c r="K76" s="6" t="s">
        <v>3190</v>
      </c>
      <c r="L76" s="23"/>
      <c r="M76" s="6" t="s">
        <v>33</v>
      </c>
      <c r="N76" s="6"/>
      <c r="O76" s="6"/>
      <c r="P76" s="24"/>
      <c r="Q76" s="6"/>
      <c r="R76" s="6"/>
      <c r="S76" s="6"/>
    </row>
    <row r="77" spans="1:19" x14ac:dyDescent="0.25">
      <c r="A77" s="22" t="s">
        <v>3191</v>
      </c>
      <c r="B77" s="6" t="s">
        <v>2057</v>
      </c>
      <c r="C77" s="6" t="s">
        <v>3192</v>
      </c>
      <c r="D77" s="6" t="s">
        <v>140</v>
      </c>
      <c r="E77" s="6" t="s">
        <v>104</v>
      </c>
      <c r="F77" s="6" t="s">
        <v>105</v>
      </c>
      <c r="G77" s="6" t="s">
        <v>80</v>
      </c>
      <c r="H77" s="6"/>
      <c r="I77" s="6" t="s">
        <v>2851</v>
      </c>
      <c r="J77" s="6" t="s">
        <v>3193</v>
      </c>
      <c r="K77" s="6" t="s">
        <v>3194</v>
      </c>
      <c r="L77" s="23"/>
      <c r="M77" s="6" t="s">
        <v>33</v>
      </c>
      <c r="N77" s="6"/>
      <c r="O77" s="6"/>
      <c r="P77" s="24"/>
      <c r="Q77" s="6"/>
      <c r="R77" s="6"/>
      <c r="S77" s="6"/>
    </row>
    <row r="78" spans="1:19" x14ac:dyDescent="0.25">
      <c r="A78" s="22" t="s">
        <v>3195</v>
      </c>
      <c r="B78" s="6" t="s">
        <v>964</v>
      </c>
      <c r="C78" s="6" t="s">
        <v>3196</v>
      </c>
      <c r="D78" s="6" t="s">
        <v>103</v>
      </c>
      <c r="E78" s="6" t="s">
        <v>104</v>
      </c>
      <c r="F78" s="6" t="s">
        <v>105</v>
      </c>
      <c r="G78" s="6" t="s">
        <v>80</v>
      </c>
      <c r="H78" s="6"/>
      <c r="I78" s="6" t="s">
        <v>3197</v>
      </c>
      <c r="J78" s="6" t="s">
        <v>3198</v>
      </c>
      <c r="K78" s="6" t="s">
        <v>3199</v>
      </c>
      <c r="L78" s="23"/>
      <c r="M78" s="6" t="s">
        <v>33</v>
      </c>
      <c r="N78" s="6"/>
      <c r="O78" s="6"/>
      <c r="P78" s="24"/>
      <c r="Q78" s="6"/>
      <c r="R78" s="6"/>
      <c r="S78" s="6"/>
    </row>
    <row r="79" spans="1:19" x14ac:dyDescent="0.25">
      <c r="A79" s="22" t="s">
        <v>3200</v>
      </c>
      <c r="B79" s="6" t="s">
        <v>964</v>
      </c>
      <c r="C79" s="6" t="s">
        <v>3201</v>
      </c>
      <c r="D79" s="6" t="s">
        <v>120</v>
      </c>
      <c r="E79" s="6" t="s">
        <v>113</v>
      </c>
      <c r="F79" s="6" t="s">
        <v>127</v>
      </c>
      <c r="G79" s="6" t="s">
        <v>80</v>
      </c>
      <c r="H79" s="6"/>
      <c r="I79" s="6" t="s">
        <v>3202</v>
      </c>
      <c r="J79" s="6" t="s">
        <v>3203</v>
      </c>
      <c r="K79" s="6" t="s">
        <v>3204</v>
      </c>
      <c r="L79" s="23"/>
      <c r="M79" s="6" t="s">
        <v>33</v>
      </c>
      <c r="N79" s="6"/>
      <c r="O79" s="6"/>
      <c r="P79" s="24"/>
      <c r="Q79" s="6"/>
      <c r="R79" s="6"/>
      <c r="S79" s="6"/>
    </row>
    <row r="80" spans="1:19" x14ac:dyDescent="0.25">
      <c r="A80" s="22" t="s">
        <v>3205</v>
      </c>
      <c r="B80" s="6" t="s">
        <v>3206</v>
      </c>
      <c r="C80" s="6" t="s">
        <v>3207</v>
      </c>
      <c r="D80" s="6" t="s">
        <v>103</v>
      </c>
      <c r="E80" s="6" t="s">
        <v>104</v>
      </c>
      <c r="F80" s="6" t="s">
        <v>105</v>
      </c>
      <c r="G80" s="6" t="s">
        <v>80</v>
      </c>
      <c r="H80" s="6"/>
      <c r="I80" s="6" t="s">
        <v>3208</v>
      </c>
      <c r="J80" s="6" t="s">
        <v>3209</v>
      </c>
      <c r="K80" s="6" t="s">
        <v>3210</v>
      </c>
      <c r="L80" s="23"/>
      <c r="M80" s="6" t="s">
        <v>33</v>
      </c>
      <c r="N80" s="6"/>
      <c r="O80" s="6"/>
      <c r="P80" s="24"/>
      <c r="Q80" s="6"/>
      <c r="R80" s="6"/>
      <c r="S80" s="6"/>
    </row>
    <row r="81" spans="1:19" x14ac:dyDescent="0.25">
      <c r="A81" s="22" t="s">
        <v>3211</v>
      </c>
      <c r="B81" s="6" t="s">
        <v>3206</v>
      </c>
      <c r="C81" s="6" t="s">
        <v>3212</v>
      </c>
      <c r="D81" s="6" t="s">
        <v>103</v>
      </c>
      <c r="E81" s="6" t="s">
        <v>104</v>
      </c>
      <c r="F81" s="6" t="s">
        <v>105</v>
      </c>
      <c r="G81" s="6" t="s">
        <v>80</v>
      </c>
      <c r="H81" s="6"/>
      <c r="I81" s="6" t="s">
        <v>3213</v>
      </c>
      <c r="J81" s="6" t="s">
        <v>3214</v>
      </c>
      <c r="K81" s="6" t="s">
        <v>3215</v>
      </c>
      <c r="L81" s="23"/>
      <c r="M81" s="6" t="s">
        <v>33</v>
      </c>
      <c r="N81" s="6"/>
      <c r="O81" s="6"/>
      <c r="P81" s="24"/>
      <c r="Q81" s="6"/>
      <c r="R81" s="6"/>
      <c r="S81" s="6"/>
    </row>
    <row r="82" spans="1:19" x14ac:dyDescent="0.25">
      <c r="A82" s="22" t="s">
        <v>3216</v>
      </c>
      <c r="B82" s="6" t="s">
        <v>3206</v>
      </c>
      <c r="C82" s="6" t="s">
        <v>3217</v>
      </c>
      <c r="D82" s="6" t="s">
        <v>103</v>
      </c>
      <c r="E82" s="6" t="s">
        <v>104</v>
      </c>
      <c r="F82" s="6" t="s">
        <v>105</v>
      </c>
      <c r="G82" s="6" t="s">
        <v>80</v>
      </c>
      <c r="H82" s="6"/>
      <c r="I82" s="6" t="s">
        <v>3218</v>
      </c>
      <c r="J82" s="6" t="s">
        <v>3219</v>
      </c>
      <c r="K82" s="6" t="s">
        <v>3220</v>
      </c>
      <c r="L82" s="23"/>
      <c r="M82" s="6" t="s">
        <v>33</v>
      </c>
      <c r="N82" s="6"/>
      <c r="O82" s="6"/>
      <c r="P82" s="24"/>
      <c r="Q82" s="6"/>
      <c r="R82" s="6"/>
      <c r="S82" s="6"/>
    </row>
    <row r="83" spans="1:19" x14ac:dyDescent="0.25">
      <c r="A83" s="22" t="s">
        <v>3221</v>
      </c>
      <c r="B83" s="6" t="s">
        <v>3206</v>
      </c>
      <c r="C83" s="6" t="s">
        <v>3222</v>
      </c>
      <c r="D83" s="6" t="s">
        <v>103</v>
      </c>
      <c r="E83" s="6" t="s">
        <v>113</v>
      </c>
      <c r="F83" s="6" t="s">
        <v>105</v>
      </c>
      <c r="G83" s="6" t="s">
        <v>80</v>
      </c>
      <c r="H83" s="6"/>
      <c r="I83" s="6" t="s">
        <v>3223</v>
      </c>
      <c r="J83" s="6" t="s">
        <v>3224</v>
      </c>
      <c r="K83" s="6" t="s">
        <v>3225</v>
      </c>
      <c r="L83" s="23"/>
      <c r="M83" s="6" t="s">
        <v>33</v>
      </c>
      <c r="N83" s="6"/>
      <c r="O83" s="6"/>
      <c r="P83" s="24"/>
      <c r="Q83" s="6"/>
      <c r="R83" s="6"/>
      <c r="S83" s="6"/>
    </row>
    <row r="84" spans="1:19" x14ac:dyDescent="0.25">
      <c r="A84" s="22" t="s">
        <v>3226</v>
      </c>
      <c r="B84" s="6" t="s">
        <v>3206</v>
      </c>
      <c r="C84" s="6" t="s">
        <v>3227</v>
      </c>
      <c r="D84" s="6" t="s">
        <v>120</v>
      </c>
      <c r="E84" s="6" t="s">
        <v>104</v>
      </c>
      <c r="F84" s="6" t="s">
        <v>127</v>
      </c>
      <c r="G84" s="6" t="s">
        <v>80</v>
      </c>
      <c r="H84" s="6"/>
      <c r="I84" s="6" t="s">
        <v>3228</v>
      </c>
      <c r="J84" s="6" t="s">
        <v>3229</v>
      </c>
      <c r="K84" s="6" t="s">
        <v>3230</v>
      </c>
      <c r="L84" s="23"/>
      <c r="M84" s="6" t="s">
        <v>33</v>
      </c>
      <c r="N84" s="6"/>
      <c r="O84" s="6"/>
      <c r="P84" s="24"/>
      <c r="Q84" s="6"/>
      <c r="R84" s="6"/>
      <c r="S84" s="6"/>
    </row>
    <row r="85" spans="1:19" x14ac:dyDescent="0.25">
      <c r="A85" s="22" t="s">
        <v>3231</v>
      </c>
      <c r="B85" s="6" t="s">
        <v>3206</v>
      </c>
      <c r="C85" s="6" t="s">
        <v>3232</v>
      </c>
      <c r="D85" s="6" t="s">
        <v>140</v>
      </c>
      <c r="E85" s="6" t="s">
        <v>104</v>
      </c>
      <c r="F85" s="6" t="s">
        <v>105</v>
      </c>
      <c r="G85" s="6" t="s">
        <v>80</v>
      </c>
      <c r="H85" s="6"/>
      <c r="I85" s="6" t="s">
        <v>2851</v>
      </c>
      <c r="J85" s="6" t="s">
        <v>3233</v>
      </c>
      <c r="K85" s="6" t="s">
        <v>3234</v>
      </c>
      <c r="L85" s="23"/>
      <c r="M85" s="6" t="s">
        <v>33</v>
      </c>
      <c r="N85" s="6"/>
      <c r="O85" s="6"/>
      <c r="P85" s="24"/>
      <c r="Q85" s="6"/>
      <c r="R85" s="6"/>
      <c r="S85" s="6"/>
    </row>
    <row r="86" spans="1:19" x14ac:dyDescent="0.25">
      <c r="A86" s="22" t="s">
        <v>3235</v>
      </c>
      <c r="B86" s="6" t="s">
        <v>3236</v>
      </c>
      <c r="C86" s="6" t="s">
        <v>3237</v>
      </c>
      <c r="D86" s="6" t="s">
        <v>103</v>
      </c>
      <c r="E86" s="6" t="s">
        <v>104</v>
      </c>
      <c r="F86" s="6" t="s">
        <v>105</v>
      </c>
      <c r="G86" s="6" t="s">
        <v>80</v>
      </c>
      <c r="H86" s="6"/>
      <c r="I86" s="6" t="s">
        <v>3238</v>
      </c>
      <c r="J86" s="6" t="s">
        <v>3239</v>
      </c>
      <c r="K86" s="6" t="s">
        <v>3240</v>
      </c>
      <c r="L86" s="23"/>
      <c r="M86" s="6" t="s">
        <v>33</v>
      </c>
      <c r="N86" s="6"/>
      <c r="O86" s="6"/>
      <c r="P86" s="24"/>
      <c r="Q86" s="6"/>
      <c r="R86" s="6"/>
      <c r="S86" s="6"/>
    </row>
    <row r="87" spans="1:19" x14ac:dyDescent="0.25">
      <c r="A87" s="22" t="s">
        <v>3241</v>
      </c>
      <c r="B87" s="6" t="s">
        <v>3236</v>
      </c>
      <c r="C87" s="6" t="s">
        <v>3242</v>
      </c>
      <c r="D87" s="6" t="s">
        <v>103</v>
      </c>
      <c r="E87" s="6" t="s">
        <v>113</v>
      </c>
      <c r="F87" s="6" t="s">
        <v>105</v>
      </c>
      <c r="G87" s="6" t="s">
        <v>80</v>
      </c>
      <c r="H87" s="6"/>
      <c r="I87" s="6" t="s">
        <v>3243</v>
      </c>
      <c r="J87" s="6" t="s">
        <v>3244</v>
      </c>
      <c r="K87" s="6" t="s">
        <v>3245</v>
      </c>
      <c r="L87" s="23"/>
      <c r="M87" s="6" t="s">
        <v>33</v>
      </c>
      <c r="N87" s="6"/>
      <c r="O87" s="6"/>
      <c r="P87" s="24"/>
      <c r="Q87" s="6"/>
      <c r="R87" s="6"/>
      <c r="S87" s="6"/>
    </row>
    <row r="88" spans="1:19" x14ac:dyDescent="0.25">
      <c r="A88" s="22" t="s">
        <v>3246</v>
      </c>
      <c r="B88" s="6" t="s">
        <v>3236</v>
      </c>
      <c r="C88" s="6" t="s">
        <v>3247</v>
      </c>
      <c r="D88" s="6" t="s">
        <v>103</v>
      </c>
      <c r="E88" s="6" t="s">
        <v>104</v>
      </c>
      <c r="F88" s="6" t="s">
        <v>105</v>
      </c>
      <c r="G88" s="6" t="s">
        <v>80</v>
      </c>
      <c r="H88" s="6"/>
      <c r="I88" s="6" t="s">
        <v>3248</v>
      </c>
      <c r="J88" s="6" t="s">
        <v>3249</v>
      </c>
      <c r="K88" s="6" t="s">
        <v>3250</v>
      </c>
      <c r="L88" s="23"/>
      <c r="M88" s="6" t="s">
        <v>33</v>
      </c>
      <c r="N88" s="6"/>
      <c r="O88" s="6"/>
      <c r="P88" s="24"/>
      <c r="Q88" s="6"/>
      <c r="R88" s="6"/>
      <c r="S88" s="6"/>
    </row>
    <row r="89" spans="1:19" x14ac:dyDescent="0.25">
      <c r="A89" s="22" t="s">
        <v>3251</v>
      </c>
      <c r="B89" s="6" t="s">
        <v>3236</v>
      </c>
      <c r="C89" s="6" t="s">
        <v>3252</v>
      </c>
      <c r="D89" s="6" t="s">
        <v>120</v>
      </c>
      <c r="E89" s="6" t="s">
        <v>113</v>
      </c>
      <c r="F89" s="6" t="s">
        <v>127</v>
      </c>
      <c r="G89" s="6" t="s">
        <v>80</v>
      </c>
      <c r="H89" s="6"/>
      <c r="I89" s="6" t="s">
        <v>3253</v>
      </c>
      <c r="J89" s="6" t="s">
        <v>3254</v>
      </c>
      <c r="K89" s="6" t="s">
        <v>3255</v>
      </c>
      <c r="L89" s="23"/>
      <c r="M89" s="6" t="s">
        <v>33</v>
      </c>
      <c r="N89" s="6"/>
      <c r="O89" s="6"/>
      <c r="P89" s="24"/>
      <c r="Q89" s="6"/>
      <c r="R89" s="6"/>
      <c r="S89" s="6"/>
    </row>
    <row r="90" spans="1:19" x14ac:dyDescent="0.25">
      <c r="A90" s="22" t="s">
        <v>3256</v>
      </c>
      <c r="B90" s="6" t="s">
        <v>3236</v>
      </c>
      <c r="C90" s="6" t="s">
        <v>3257</v>
      </c>
      <c r="D90" s="6" t="s">
        <v>140</v>
      </c>
      <c r="E90" s="6" t="s">
        <v>104</v>
      </c>
      <c r="F90" s="6" t="s">
        <v>105</v>
      </c>
      <c r="G90" s="6" t="s">
        <v>80</v>
      </c>
      <c r="H90" s="6"/>
      <c r="I90" s="6" t="s">
        <v>2851</v>
      </c>
      <c r="J90" s="6" t="s">
        <v>3258</v>
      </c>
      <c r="K90" s="6" t="s">
        <v>3259</v>
      </c>
      <c r="L90" s="23"/>
      <c r="M90" s="6" t="s">
        <v>33</v>
      </c>
      <c r="N90" s="6"/>
      <c r="O90" s="6"/>
      <c r="P90" s="24"/>
      <c r="Q90" s="6"/>
      <c r="R90" s="6"/>
      <c r="S90" s="6"/>
    </row>
    <row r="91" spans="1:19" x14ac:dyDescent="0.25">
      <c r="A91" s="22" t="s">
        <v>3260</v>
      </c>
      <c r="B91" s="6" t="s">
        <v>653</v>
      </c>
      <c r="C91" s="6" t="s">
        <v>3261</v>
      </c>
      <c r="D91" s="6" t="s">
        <v>103</v>
      </c>
      <c r="E91" s="6" t="s">
        <v>104</v>
      </c>
      <c r="F91" s="6" t="s">
        <v>105</v>
      </c>
      <c r="G91" s="6" t="s">
        <v>80</v>
      </c>
      <c r="H91" s="6"/>
      <c r="I91" s="6" t="s">
        <v>2851</v>
      </c>
      <c r="J91" s="6" t="s">
        <v>3262</v>
      </c>
      <c r="K91" s="6" t="s">
        <v>3263</v>
      </c>
      <c r="L91" s="23"/>
      <c r="M91" s="6" t="s">
        <v>33</v>
      </c>
      <c r="N91" s="6"/>
      <c r="O91" s="6"/>
      <c r="P91" s="24"/>
      <c r="Q91" s="6"/>
      <c r="R91" s="6"/>
      <c r="S91" s="6"/>
    </row>
    <row r="92" spans="1:19" x14ac:dyDescent="0.25">
      <c r="A92" s="22" t="s">
        <v>3264</v>
      </c>
      <c r="B92" s="6" t="s">
        <v>653</v>
      </c>
      <c r="C92" s="6" t="s">
        <v>3265</v>
      </c>
      <c r="D92" s="6" t="s">
        <v>103</v>
      </c>
      <c r="E92" s="6" t="s">
        <v>113</v>
      </c>
      <c r="F92" s="6" t="s">
        <v>105</v>
      </c>
      <c r="G92" s="6" t="s">
        <v>80</v>
      </c>
      <c r="H92" s="6"/>
      <c r="I92" s="6" t="s">
        <v>3266</v>
      </c>
      <c r="J92" s="6" t="s">
        <v>3267</v>
      </c>
      <c r="K92" s="6" t="s">
        <v>3268</v>
      </c>
      <c r="L92" s="23"/>
      <c r="M92" s="6" t="s">
        <v>33</v>
      </c>
      <c r="N92" s="6"/>
      <c r="O92" s="6"/>
      <c r="P92" s="24"/>
      <c r="Q92" s="6"/>
      <c r="R92" s="6"/>
      <c r="S92" s="6"/>
    </row>
    <row r="93" spans="1:19" x14ac:dyDescent="0.25">
      <c r="A93" s="22" t="s">
        <v>3269</v>
      </c>
      <c r="B93" s="6" t="s">
        <v>653</v>
      </c>
      <c r="C93" s="6" t="s">
        <v>3270</v>
      </c>
      <c r="D93" s="6" t="s">
        <v>209</v>
      </c>
      <c r="E93" s="6" t="s">
        <v>104</v>
      </c>
      <c r="F93" s="6" t="s">
        <v>105</v>
      </c>
      <c r="G93" s="6" t="s">
        <v>80</v>
      </c>
      <c r="H93" s="6"/>
      <c r="I93" s="6" t="s">
        <v>3271</v>
      </c>
      <c r="J93" s="6" t="s">
        <v>3272</v>
      </c>
      <c r="K93" s="6" t="s">
        <v>3273</v>
      </c>
      <c r="L93" s="23"/>
      <c r="M93" s="6" t="s">
        <v>33</v>
      </c>
      <c r="N93" s="6"/>
      <c r="O93" s="6"/>
      <c r="P93" s="24"/>
      <c r="Q93" s="6"/>
      <c r="R93" s="6"/>
      <c r="S93" s="6"/>
    </row>
    <row r="94" spans="1:19" x14ac:dyDescent="0.25">
      <c r="A94" s="22" t="s">
        <v>3274</v>
      </c>
      <c r="B94" s="6" t="s">
        <v>653</v>
      </c>
      <c r="C94" s="6" t="s">
        <v>3275</v>
      </c>
      <c r="D94" s="6" t="s">
        <v>120</v>
      </c>
      <c r="E94" s="6" t="s">
        <v>113</v>
      </c>
      <c r="F94" s="6" t="s">
        <v>127</v>
      </c>
      <c r="G94" s="6" t="s">
        <v>80</v>
      </c>
      <c r="H94" s="6"/>
      <c r="I94" s="6" t="s">
        <v>3276</v>
      </c>
      <c r="J94" s="6" t="s">
        <v>3277</v>
      </c>
      <c r="K94" s="6" t="s">
        <v>3278</v>
      </c>
      <c r="L94" s="23"/>
      <c r="M94" s="6" t="s">
        <v>33</v>
      </c>
      <c r="N94" s="6"/>
      <c r="O94" s="6"/>
      <c r="P94" s="24"/>
      <c r="Q94" s="6"/>
      <c r="R94" s="6"/>
      <c r="S94" s="6"/>
    </row>
    <row r="95" spans="1:19" x14ac:dyDescent="0.25">
      <c r="A95" s="22" t="s">
        <v>3279</v>
      </c>
      <c r="B95" s="6" t="s">
        <v>140</v>
      </c>
      <c r="C95" s="6" t="s">
        <v>3280</v>
      </c>
      <c r="D95" s="6" t="s">
        <v>140</v>
      </c>
      <c r="E95" s="6" t="s">
        <v>104</v>
      </c>
      <c r="F95" s="6" t="s">
        <v>105</v>
      </c>
      <c r="G95" s="6" t="s">
        <v>80</v>
      </c>
      <c r="H95" s="6"/>
      <c r="I95" s="6" t="s">
        <v>2851</v>
      </c>
      <c r="J95" s="6" t="s">
        <v>3281</v>
      </c>
      <c r="K95" s="6" t="s">
        <v>3282</v>
      </c>
      <c r="L95" s="23"/>
      <c r="M95" s="6" t="s">
        <v>33</v>
      </c>
      <c r="N95" s="6"/>
      <c r="O95" s="6"/>
      <c r="P95" s="24"/>
      <c r="Q95" s="6"/>
      <c r="R95" s="6"/>
      <c r="S95" s="6"/>
    </row>
    <row r="96" spans="1:19" x14ac:dyDescent="0.25">
      <c r="A96" s="22" t="s">
        <v>3283</v>
      </c>
      <c r="B96" s="6" t="s">
        <v>140</v>
      </c>
      <c r="C96" s="6" t="s">
        <v>3284</v>
      </c>
      <c r="D96" s="6" t="s">
        <v>140</v>
      </c>
      <c r="E96" s="6" t="s">
        <v>104</v>
      </c>
      <c r="F96" s="6" t="s">
        <v>105</v>
      </c>
      <c r="G96" s="6" t="s">
        <v>80</v>
      </c>
      <c r="H96" s="6"/>
      <c r="I96" s="6" t="s">
        <v>2851</v>
      </c>
      <c r="J96" s="6" t="s">
        <v>3285</v>
      </c>
      <c r="K96" s="6" t="s">
        <v>3286</v>
      </c>
      <c r="L96" s="23"/>
      <c r="M96" s="6" t="s">
        <v>33</v>
      </c>
      <c r="N96" s="6"/>
      <c r="O96" s="6"/>
      <c r="P96" s="24"/>
      <c r="Q96" s="6"/>
      <c r="R96" s="6"/>
      <c r="S96" s="6"/>
    </row>
    <row r="97" spans="1:19" x14ac:dyDescent="0.25">
      <c r="A97" s="22" t="s">
        <v>3287</v>
      </c>
      <c r="B97" s="6" t="s">
        <v>140</v>
      </c>
      <c r="C97" s="6" t="s">
        <v>3288</v>
      </c>
      <c r="D97" s="6" t="s">
        <v>140</v>
      </c>
      <c r="E97" s="6" t="s">
        <v>104</v>
      </c>
      <c r="F97" s="6" t="s">
        <v>105</v>
      </c>
      <c r="G97" s="6" t="s">
        <v>80</v>
      </c>
      <c r="H97" s="6"/>
      <c r="I97" s="6" t="s">
        <v>2851</v>
      </c>
      <c r="J97" s="6" t="s">
        <v>3289</v>
      </c>
      <c r="K97" s="6" t="s">
        <v>3290</v>
      </c>
      <c r="L97" s="23"/>
      <c r="M97" s="6" t="s">
        <v>33</v>
      </c>
      <c r="N97" s="6"/>
      <c r="O97" s="6"/>
      <c r="P97" s="24"/>
      <c r="Q97" s="6"/>
      <c r="R97" s="6"/>
      <c r="S97" s="6"/>
    </row>
    <row r="98" spans="1:19" x14ac:dyDescent="0.25">
      <c r="A98" s="22" t="s">
        <v>3291</v>
      </c>
      <c r="B98" s="6" t="s">
        <v>140</v>
      </c>
      <c r="C98" s="6" t="s">
        <v>3292</v>
      </c>
      <c r="D98" s="6" t="s">
        <v>140</v>
      </c>
      <c r="E98" s="6" t="s">
        <v>104</v>
      </c>
      <c r="F98" s="6" t="s">
        <v>105</v>
      </c>
      <c r="G98" s="6" t="s">
        <v>80</v>
      </c>
      <c r="H98" s="6"/>
      <c r="I98" s="6" t="s">
        <v>3293</v>
      </c>
      <c r="J98" s="6" t="s">
        <v>3294</v>
      </c>
      <c r="K98" s="6" t="s">
        <v>3295</v>
      </c>
      <c r="L98" s="23" t="s">
        <v>3296</v>
      </c>
      <c r="M98" s="6" t="s">
        <v>33</v>
      </c>
      <c r="N98" s="6"/>
      <c r="O98" s="6"/>
      <c r="P98" s="24"/>
      <c r="Q98" s="6"/>
      <c r="R98" s="6"/>
      <c r="S98" s="6"/>
    </row>
    <row r="99" spans="1:19" x14ac:dyDescent="0.25">
      <c r="A99" s="22" t="s">
        <v>3297</v>
      </c>
      <c r="B99" s="6" t="s">
        <v>140</v>
      </c>
      <c r="C99" s="6" t="s">
        <v>3298</v>
      </c>
      <c r="D99" s="6" t="s">
        <v>140</v>
      </c>
      <c r="E99" s="6" t="s">
        <v>104</v>
      </c>
      <c r="F99" s="6" t="s">
        <v>105</v>
      </c>
      <c r="G99" s="6" t="s">
        <v>80</v>
      </c>
      <c r="H99" s="6"/>
      <c r="I99" s="6" t="s">
        <v>3299</v>
      </c>
      <c r="J99" s="6" t="s">
        <v>3300</v>
      </c>
      <c r="K99" s="6" t="s">
        <v>3301</v>
      </c>
      <c r="L99" s="23"/>
      <c r="M99" s="6" t="s">
        <v>33</v>
      </c>
      <c r="N99" s="6"/>
      <c r="O99" s="6"/>
      <c r="P99" s="24"/>
      <c r="Q99" s="6"/>
      <c r="R99" s="6"/>
      <c r="S99" s="6"/>
    </row>
    <row r="100" spans="1:19" x14ac:dyDescent="0.25">
      <c r="A100" s="22" t="s">
        <v>3302</v>
      </c>
      <c r="B100" s="6" t="s">
        <v>140</v>
      </c>
      <c r="C100" s="6" t="s">
        <v>3303</v>
      </c>
      <c r="D100" s="6" t="s">
        <v>120</v>
      </c>
      <c r="E100" s="6" t="s">
        <v>104</v>
      </c>
      <c r="F100" s="6" t="s">
        <v>127</v>
      </c>
      <c r="G100" s="6" t="s">
        <v>80</v>
      </c>
      <c r="H100" s="6"/>
      <c r="I100" s="6" t="s">
        <v>2924</v>
      </c>
      <c r="J100" s="6" t="s">
        <v>3304</v>
      </c>
      <c r="K100" s="6" t="s">
        <v>3305</v>
      </c>
      <c r="L100" s="23"/>
      <c r="M100" s="6" t="s">
        <v>33</v>
      </c>
      <c r="N100" s="6"/>
      <c r="O100" s="6"/>
      <c r="P100" s="24"/>
      <c r="Q100" s="6"/>
      <c r="R100" s="6"/>
      <c r="S100" s="6"/>
    </row>
    <row r="101" spans="1:19" x14ac:dyDescent="0.25">
      <c r="A101" s="22" t="s">
        <v>3306</v>
      </c>
      <c r="B101" s="6" t="s">
        <v>140</v>
      </c>
      <c r="C101" s="6" t="s">
        <v>3307</v>
      </c>
      <c r="D101" s="6" t="s">
        <v>120</v>
      </c>
      <c r="E101" s="6" t="s">
        <v>113</v>
      </c>
      <c r="F101" s="6" t="s">
        <v>127</v>
      </c>
      <c r="G101" s="6" t="s">
        <v>80</v>
      </c>
      <c r="H101" s="6"/>
      <c r="I101" s="6" t="s">
        <v>3308</v>
      </c>
      <c r="J101" s="6" t="s">
        <v>3309</v>
      </c>
      <c r="K101" s="6" t="s">
        <v>3310</v>
      </c>
      <c r="L101" s="23" t="s">
        <v>3311</v>
      </c>
      <c r="M101" s="6" t="s">
        <v>33</v>
      </c>
      <c r="N101" s="6"/>
      <c r="O101" s="6"/>
      <c r="P101" s="24"/>
      <c r="Q101" s="6"/>
      <c r="R101" s="6"/>
      <c r="S101" s="6"/>
    </row>
    <row r="102" spans="1:19" x14ac:dyDescent="0.25">
      <c r="A102" s="22" t="s">
        <v>3312</v>
      </c>
      <c r="B102" s="6" t="s">
        <v>3004</v>
      </c>
      <c r="C102" s="6" t="s">
        <v>3313</v>
      </c>
      <c r="D102" s="6" t="s">
        <v>103</v>
      </c>
      <c r="E102" s="6" t="s">
        <v>104</v>
      </c>
      <c r="F102" s="6" t="s">
        <v>105</v>
      </c>
      <c r="G102" s="6" t="s">
        <v>79</v>
      </c>
      <c r="H102" s="6" t="s">
        <v>3314</v>
      </c>
      <c r="I102" s="6" t="s">
        <v>3315</v>
      </c>
      <c r="J102" s="6" t="s">
        <v>3316</v>
      </c>
      <c r="K102" s="6" t="s">
        <v>3317</v>
      </c>
      <c r="L102" s="23" t="s">
        <v>3318</v>
      </c>
      <c r="M102" s="6" t="s">
        <v>33</v>
      </c>
      <c r="N102" s="6"/>
      <c r="O102" s="6"/>
      <c r="P102" s="24"/>
      <c r="Q102" s="6"/>
      <c r="R102" s="6"/>
      <c r="S102" s="6"/>
    </row>
    <row r="103" spans="1:19" x14ac:dyDescent="0.25">
      <c r="A103" s="22" t="s">
        <v>3319</v>
      </c>
      <c r="B103" s="6" t="s">
        <v>2949</v>
      </c>
      <c r="C103" s="6" t="s">
        <v>3320</v>
      </c>
      <c r="D103" s="6" t="s">
        <v>103</v>
      </c>
      <c r="E103" s="6" t="s">
        <v>104</v>
      </c>
      <c r="F103" s="6" t="s">
        <v>105</v>
      </c>
      <c r="G103" s="6" t="s">
        <v>79</v>
      </c>
      <c r="H103" s="6" t="s">
        <v>2790</v>
      </c>
      <c r="I103" s="6" t="s">
        <v>3321</v>
      </c>
      <c r="J103" s="6" t="s">
        <v>3322</v>
      </c>
      <c r="K103" s="6" t="s">
        <v>3323</v>
      </c>
      <c r="L103" s="23" t="s">
        <v>3324</v>
      </c>
      <c r="M103" s="6" t="s">
        <v>33</v>
      </c>
      <c r="N103" s="6"/>
      <c r="O103" s="6"/>
      <c r="P103" s="24"/>
      <c r="Q103" s="6"/>
      <c r="R103" s="6"/>
      <c r="S103" s="6"/>
    </row>
    <row r="104" spans="1:19" x14ac:dyDescent="0.25">
      <c r="A104" s="22" t="s">
        <v>3325</v>
      </c>
      <c r="B104" s="6" t="s">
        <v>2949</v>
      </c>
      <c r="C104" s="6" t="s">
        <v>3326</v>
      </c>
      <c r="D104" s="6" t="s">
        <v>112</v>
      </c>
      <c r="E104" s="6" t="s">
        <v>113</v>
      </c>
      <c r="F104" s="6" t="s">
        <v>121</v>
      </c>
      <c r="G104" s="6" t="s">
        <v>80</v>
      </c>
      <c r="H104" s="6" t="s">
        <v>3327</v>
      </c>
      <c r="I104" s="6" t="s">
        <v>3328</v>
      </c>
      <c r="J104" s="6" t="s">
        <v>3329</v>
      </c>
      <c r="K104" s="6" t="s">
        <v>3330</v>
      </c>
      <c r="L104" s="23" t="s">
        <v>3331</v>
      </c>
      <c r="M104" s="6" t="s">
        <v>33</v>
      </c>
      <c r="N104" s="6"/>
      <c r="O104" s="6"/>
      <c r="P104" s="24"/>
      <c r="Q104" s="6"/>
      <c r="R104" s="6"/>
      <c r="S104" s="6"/>
    </row>
    <row r="105" spans="1:19" x14ac:dyDescent="0.25">
      <c r="A105" s="22" t="s">
        <v>3332</v>
      </c>
      <c r="B105" s="6" t="s">
        <v>2949</v>
      </c>
      <c r="C105" s="6" t="s">
        <v>3333</v>
      </c>
      <c r="D105" s="6" t="s">
        <v>103</v>
      </c>
      <c r="E105" s="6" t="s">
        <v>113</v>
      </c>
      <c r="F105" s="6" t="s">
        <v>105</v>
      </c>
      <c r="G105" s="6" t="s">
        <v>80</v>
      </c>
      <c r="H105" s="6" t="s">
        <v>3334</v>
      </c>
      <c r="I105" s="6" t="s">
        <v>3335</v>
      </c>
      <c r="J105" s="6" t="s">
        <v>3336</v>
      </c>
      <c r="K105" s="6" t="s">
        <v>3337</v>
      </c>
      <c r="L105" s="23" t="s">
        <v>3338</v>
      </c>
      <c r="M105" s="6" t="s">
        <v>33</v>
      </c>
      <c r="N105" s="6"/>
      <c r="O105" s="6"/>
      <c r="P105" s="24"/>
      <c r="Q105" s="6"/>
      <c r="R105" s="6"/>
      <c r="S105" s="6"/>
    </row>
    <row r="106" spans="1:19" x14ac:dyDescent="0.25">
      <c r="A106" s="22" t="s">
        <v>3339</v>
      </c>
      <c r="B106" s="6" t="s">
        <v>3070</v>
      </c>
      <c r="C106" s="6" t="s">
        <v>3340</v>
      </c>
      <c r="D106" s="6" t="s">
        <v>103</v>
      </c>
      <c r="E106" s="6" t="s">
        <v>104</v>
      </c>
      <c r="F106" s="6" t="s">
        <v>105</v>
      </c>
      <c r="G106" s="6" t="s">
        <v>80</v>
      </c>
      <c r="H106" s="6" t="s">
        <v>3341</v>
      </c>
      <c r="I106" s="6" t="s">
        <v>3342</v>
      </c>
      <c r="J106" s="6" t="s">
        <v>3343</v>
      </c>
      <c r="K106" s="6" t="s">
        <v>3344</v>
      </c>
      <c r="L106" s="23"/>
      <c r="M106" s="6" t="s">
        <v>33</v>
      </c>
      <c r="N106" s="6"/>
      <c r="O106" s="6"/>
      <c r="P106" s="24"/>
      <c r="Q106" s="6"/>
      <c r="R106" s="6"/>
      <c r="S106" s="6"/>
    </row>
    <row r="107" spans="1:19" x14ac:dyDescent="0.25">
      <c r="A107" s="22" t="s">
        <v>3345</v>
      </c>
      <c r="B107" s="6" t="s">
        <v>653</v>
      </c>
      <c r="C107" s="6" t="s">
        <v>3346</v>
      </c>
      <c r="D107" s="6" t="s">
        <v>103</v>
      </c>
      <c r="E107" s="6" t="s">
        <v>113</v>
      </c>
      <c r="F107" s="6" t="s">
        <v>105</v>
      </c>
      <c r="G107" s="6" t="s">
        <v>80</v>
      </c>
      <c r="H107" s="6" t="s">
        <v>2263</v>
      </c>
      <c r="I107" s="6" t="s">
        <v>3347</v>
      </c>
      <c r="J107" s="6" t="s">
        <v>3348</v>
      </c>
      <c r="K107" s="6" t="s">
        <v>3349</v>
      </c>
      <c r="L107" s="23" t="s">
        <v>3350</v>
      </c>
      <c r="M107" s="6" t="s">
        <v>33</v>
      </c>
      <c r="N107" s="6"/>
      <c r="O107" s="6"/>
      <c r="P107" s="24"/>
      <c r="Q107" s="6"/>
      <c r="R107" s="6"/>
      <c r="S107" s="6"/>
    </row>
    <row r="108" spans="1:19" x14ac:dyDescent="0.25">
      <c r="A108" s="22" t="s">
        <v>3351</v>
      </c>
      <c r="B108" s="6" t="s">
        <v>3236</v>
      </c>
      <c r="C108" s="6" t="s">
        <v>3352</v>
      </c>
      <c r="D108" s="6" t="s">
        <v>103</v>
      </c>
      <c r="E108" s="6" t="s">
        <v>104</v>
      </c>
      <c r="F108" s="6" t="s">
        <v>105</v>
      </c>
      <c r="G108" s="6" t="s">
        <v>80</v>
      </c>
      <c r="H108" s="6" t="s">
        <v>3353</v>
      </c>
      <c r="I108" s="6" t="s">
        <v>3354</v>
      </c>
      <c r="J108" s="6" t="s">
        <v>3355</v>
      </c>
      <c r="K108" s="6" t="s">
        <v>3356</v>
      </c>
      <c r="L108" s="23" t="s">
        <v>3357</v>
      </c>
      <c r="M108" s="6" t="s">
        <v>33</v>
      </c>
      <c r="N108" s="6"/>
      <c r="O108" s="6"/>
      <c r="P108" s="24"/>
      <c r="Q108" s="6"/>
      <c r="R108" s="6"/>
      <c r="S108" s="6"/>
    </row>
    <row r="109" spans="1:19" x14ac:dyDescent="0.25">
      <c r="A109" s="22" t="s">
        <v>3358</v>
      </c>
      <c r="B109" s="6" t="s">
        <v>663</v>
      </c>
      <c r="C109" s="6" t="s">
        <v>3359</v>
      </c>
      <c r="D109" s="6" t="s">
        <v>140</v>
      </c>
      <c r="E109" s="6" t="s">
        <v>145</v>
      </c>
      <c r="F109" s="6" t="s">
        <v>105</v>
      </c>
      <c r="G109" s="6" t="s">
        <v>80</v>
      </c>
      <c r="H109" s="6"/>
      <c r="I109" s="6" t="s">
        <v>3360</v>
      </c>
      <c r="J109" s="6" t="s">
        <v>3361</v>
      </c>
      <c r="K109" s="6" t="s">
        <v>3362</v>
      </c>
      <c r="L109" s="23" t="s">
        <v>3363</v>
      </c>
      <c r="M109" s="6" t="s">
        <v>33</v>
      </c>
      <c r="N109" s="6"/>
      <c r="O109" s="6"/>
      <c r="P109" s="24"/>
      <c r="Q109" s="6"/>
      <c r="R109" s="6"/>
      <c r="S109" s="6"/>
    </row>
  </sheetData>
  <autoFilter ref="A1:S1"/>
  <conditionalFormatting sqref="M2:M2000">
    <cfRule type="cellIs" dxfId="20" priority="1" operator="equal">
      <formula>"Pass"</formula>
    </cfRule>
    <cfRule type="cellIs" dxfId="21" priority="2" operator="equal">
      <formula>"Fail"</formula>
    </cfRule>
    <cfRule type="cellIs" dxfId="22" priority="3" operator="equal">
      <formula>"Blocked"</formula>
    </cfRule>
    <cfRule type="cellIs" dxfId="23" priority="4" operator="equal">
      <formula>"N/A"</formula>
    </cfRule>
  </conditionalFormatting>
  <dataValidations count="6">
    <dataValidation type="list" allowBlank="1" showErrorMessage="1" errorStyle="stop" errorTitle="Round" error="Choose one of: Round 1 (before the SAO opens a semester), Round 2 (after the SAO activates a semester), Any time" sqref="G10:G109">
      <formula1>"Round 1 (before the SAO opens a semester),Round 2 (after the SAO activates a semester),Any time"</formula1>
    </dataValidation>
    <dataValidation type="list" allowBlank="1" showErrorMessage="1" errorStyle="stop" errorTitle="Round" error="Choose one of: Round 1 (before the SAO opens a semester), Round 2 (after the SAO activates a semester), Any time" sqref="G2:G109">
      <formula1>"Round 1 (before the SAO opens a semester),Round 2 (after the SAO activates a semester),Any time"</formula1>
    </dataValidation>
    <dataValidation type="list" showErrorMessage="1" errorStyle="stop" errorTitle="Status" error="Choose one of: Not run, Pass, Fail, Blocked, N/A" sqref="M10:M109">
      <formula1>"Not run,Pass,Fail,Blocked,N/A"</formula1>
    </dataValidation>
    <dataValidation type="list" showErrorMessage="1" errorStyle="stop" errorTitle="Status" error="Choose one of: Not run, Pass, Fail, Blocked, N/A" sqref="M2:M109">
      <formula1>"Not run,Pass,Fail,Blocked,N/A"</formula1>
    </dataValidation>
    <dataValidation type="list" allowBlank="1" showErrorMessage="1" errorStyle="stop" errorTitle="Severity" error="Choose one of: Critical, Major, Minor, Cosmetic" sqref="N10:N109">
      <formula1>"Critical,Major,Minor,Cosmetic"</formula1>
    </dataValidation>
    <dataValidation type="list" allowBlank="1" showErrorMessage="1" errorStyle="stop" errorTitle="Severity" error="Choose one of: Critical, Major, Minor, Cosmetic" sqref="N2:N109">
      <formula1>"Critical,Major,Minor,Cosmetic"</formula1>
    </dataValidation>
  </dataValidations>
  <pageSetup paperSize="9" orientation="landscape"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130"/>
  <sheetViews>
    <sheetView workbookViewId="0">
      <pane xSplit="3" ySplit="1" topLeftCell="D2" activePane="bottomRight" state="frozen"/>
      <selection pane="bottomRight"/>
    </sheetView>
  </sheetViews>
  <sheetFormatPr defaultRowHeight="15" outlineLevelRow="0" outlineLevelCol="0" x14ac:dyDescent="55"/>
  <cols>
    <col min="1" max="1" width="12" customWidth="1"/>
    <col min="2" max="2" width="20" customWidth="1"/>
    <col min="3" max="3" width="38" customWidth="1"/>
    <col min="4" max="4" width="13" customWidth="1"/>
    <col min="5" max="5" width="10" customWidth="1"/>
    <col min="6" max="6" width="12" customWidth="1"/>
    <col min="7" max="7" width="24" customWidth="1"/>
    <col min="8" max="8" width="16" customWidth="1"/>
    <col min="9" max="9" width="34" customWidth="1"/>
    <col min="10" max="10" width="52" customWidth="1"/>
    <col min="11" max="11" width="40" customWidth="1"/>
    <col min="12" max="12" width="36" customWidth="1"/>
    <col min="13" max="14" width="12" customWidth="1"/>
    <col min="15" max="15" width="18" customWidth="1"/>
    <col min="16" max="16" width="13" customWidth="1"/>
    <col min="17" max="17" width="24" customWidth="1"/>
    <col min="18" max="18" width="44" customWidth="1"/>
    <col min="19" max="19" width="30" customWidth="1"/>
  </cols>
  <sheetData>
    <row r="1" ht="30" customHeight="1" spans="1:19" x14ac:dyDescent="0.25">
      <c r="A1" s="13" t="s">
        <v>82</v>
      </c>
      <c r="B1" s="13" t="s">
        <v>83</v>
      </c>
      <c r="C1" s="13" t="s">
        <v>84</v>
      </c>
      <c r="D1" s="13" t="s">
        <v>85</v>
      </c>
      <c r="E1" s="13" t="s">
        <v>86</v>
      </c>
      <c r="F1" s="13" t="s">
        <v>87</v>
      </c>
      <c r="G1" s="13" t="s">
        <v>77</v>
      </c>
      <c r="H1" s="13" t="s">
        <v>88</v>
      </c>
      <c r="I1" s="13" t="s">
        <v>89</v>
      </c>
      <c r="J1" s="13" t="s">
        <v>90</v>
      </c>
      <c r="K1" s="13" t="s">
        <v>91</v>
      </c>
      <c r="L1" s="13" t="s">
        <v>92</v>
      </c>
      <c r="M1" s="5" t="s">
        <v>93</v>
      </c>
      <c r="N1" s="5" t="s">
        <v>94</v>
      </c>
      <c r="O1" s="5" t="s">
        <v>95</v>
      </c>
      <c r="P1" s="5" t="s">
        <v>96</v>
      </c>
      <c r="Q1" s="5" t="s">
        <v>97</v>
      </c>
      <c r="R1" s="5" t="s">
        <v>98</v>
      </c>
      <c r="S1" s="5" t="s">
        <v>99</v>
      </c>
    </row>
    <row r="2" spans="1:19" x14ac:dyDescent="0.25">
      <c r="A2" s="22" t="s">
        <v>3364</v>
      </c>
      <c r="B2" s="6" t="s">
        <v>3365</v>
      </c>
      <c r="C2" s="6" t="s">
        <v>3366</v>
      </c>
      <c r="D2" s="6" t="s">
        <v>103</v>
      </c>
      <c r="E2" s="6" t="s">
        <v>104</v>
      </c>
      <c r="F2" s="6" t="s">
        <v>121</v>
      </c>
      <c r="G2" s="6" t="s">
        <v>80</v>
      </c>
      <c r="H2" s="6"/>
      <c r="I2" s="6" t="s">
        <v>3367</v>
      </c>
      <c r="J2" s="6" t="s">
        <v>3368</v>
      </c>
      <c r="K2" s="6" t="s">
        <v>3369</v>
      </c>
      <c r="L2" s="23"/>
      <c r="M2" s="6" t="s">
        <v>33</v>
      </c>
      <c r="N2" s="6"/>
      <c r="O2" s="6"/>
      <c r="P2" s="24"/>
      <c r="Q2" s="6"/>
      <c r="R2" s="6"/>
      <c r="S2" s="6"/>
    </row>
    <row r="3" spans="1:19" x14ac:dyDescent="0.25">
      <c r="A3" s="22" t="s">
        <v>3370</v>
      </c>
      <c r="B3" s="6" t="s">
        <v>3365</v>
      </c>
      <c r="C3" s="6" t="s">
        <v>3371</v>
      </c>
      <c r="D3" s="6" t="s">
        <v>103</v>
      </c>
      <c r="E3" s="6" t="s">
        <v>104</v>
      </c>
      <c r="F3" s="6" t="s">
        <v>105</v>
      </c>
      <c r="G3" s="6" t="s">
        <v>80</v>
      </c>
      <c r="H3" s="6"/>
      <c r="I3" s="6" t="s">
        <v>3372</v>
      </c>
      <c r="J3" s="6" t="s">
        <v>3373</v>
      </c>
      <c r="K3" s="6" t="s">
        <v>3374</v>
      </c>
      <c r="L3" s="23"/>
      <c r="M3" s="6" t="s">
        <v>33</v>
      </c>
      <c r="N3" s="6"/>
      <c r="O3" s="6"/>
      <c r="P3" s="24"/>
      <c r="Q3" s="6"/>
      <c r="R3" s="6"/>
      <c r="S3" s="6"/>
    </row>
    <row r="4" spans="1:19" x14ac:dyDescent="0.25">
      <c r="A4" s="22" t="s">
        <v>3375</v>
      </c>
      <c r="B4" s="6" t="s">
        <v>3365</v>
      </c>
      <c r="C4" s="6" t="s">
        <v>3376</v>
      </c>
      <c r="D4" s="6" t="s">
        <v>112</v>
      </c>
      <c r="E4" s="6" t="s">
        <v>104</v>
      </c>
      <c r="F4" s="6" t="s">
        <v>105</v>
      </c>
      <c r="G4" s="6" t="s">
        <v>80</v>
      </c>
      <c r="H4" s="6"/>
      <c r="I4" s="6" t="s">
        <v>3377</v>
      </c>
      <c r="J4" s="6" t="s">
        <v>3378</v>
      </c>
      <c r="K4" s="6" t="s">
        <v>3379</v>
      </c>
      <c r="L4" s="23"/>
      <c r="M4" s="6" t="s">
        <v>33</v>
      </c>
      <c r="N4" s="6"/>
      <c r="O4" s="6"/>
      <c r="P4" s="24"/>
      <c r="Q4" s="6"/>
      <c r="R4" s="6"/>
      <c r="S4" s="6"/>
    </row>
    <row r="5" spans="1:19" x14ac:dyDescent="0.25">
      <c r="A5" s="22" t="s">
        <v>3380</v>
      </c>
      <c r="B5" s="6" t="s">
        <v>3365</v>
      </c>
      <c r="C5" s="6" t="s">
        <v>3381</v>
      </c>
      <c r="D5" s="6" t="s">
        <v>103</v>
      </c>
      <c r="E5" s="6" t="s">
        <v>104</v>
      </c>
      <c r="F5" s="6" t="s">
        <v>105</v>
      </c>
      <c r="G5" s="6" t="s">
        <v>80</v>
      </c>
      <c r="H5" s="6"/>
      <c r="I5" s="6" t="s">
        <v>3382</v>
      </c>
      <c r="J5" s="6" t="s">
        <v>3383</v>
      </c>
      <c r="K5" s="6" t="s">
        <v>3384</v>
      </c>
      <c r="L5" s="23"/>
      <c r="M5" s="6" t="s">
        <v>33</v>
      </c>
      <c r="N5" s="6"/>
      <c r="O5" s="6"/>
      <c r="P5" s="24"/>
      <c r="Q5" s="6"/>
      <c r="R5" s="6"/>
      <c r="S5" s="6"/>
    </row>
    <row r="6" spans="1:19" x14ac:dyDescent="0.25">
      <c r="A6" s="22" t="s">
        <v>3385</v>
      </c>
      <c r="B6" s="6" t="s">
        <v>3365</v>
      </c>
      <c r="C6" s="6" t="s">
        <v>3386</v>
      </c>
      <c r="D6" s="6" t="s">
        <v>103</v>
      </c>
      <c r="E6" s="6" t="s">
        <v>104</v>
      </c>
      <c r="F6" s="6" t="s">
        <v>105</v>
      </c>
      <c r="G6" s="6" t="s">
        <v>80</v>
      </c>
      <c r="H6" s="6"/>
      <c r="I6" s="6" t="s">
        <v>3387</v>
      </c>
      <c r="J6" s="6" t="s">
        <v>3388</v>
      </c>
      <c r="K6" s="6" t="s">
        <v>3389</v>
      </c>
      <c r="L6" s="23"/>
      <c r="M6" s="6" t="s">
        <v>33</v>
      </c>
      <c r="N6" s="6"/>
      <c r="O6" s="6"/>
      <c r="P6" s="24"/>
      <c r="Q6" s="6"/>
      <c r="R6" s="6"/>
      <c r="S6" s="6"/>
    </row>
    <row r="7" spans="1:19" x14ac:dyDescent="0.25">
      <c r="A7" s="22" t="s">
        <v>3390</v>
      </c>
      <c r="B7" s="6" t="s">
        <v>3365</v>
      </c>
      <c r="C7" s="6" t="s">
        <v>3391</v>
      </c>
      <c r="D7" s="6" t="s">
        <v>103</v>
      </c>
      <c r="E7" s="6" t="s">
        <v>104</v>
      </c>
      <c r="F7" s="6" t="s">
        <v>105</v>
      </c>
      <c r="G7" s="6" t="s">
        <v>80</v>
      </c>
      <c r="H7" s="6"/>
      <c r="I7" s="6" t="s">
        <v>3387</v>
      </c>
      <c r="J7" s="6" t="s">
        <v>3392</v>
      </c>
      <c r="K7" s="6" t="s">
        <v>3393</v>
      </c>
      <c r="L7" s="23"/>
      <c r="M7" s="6" t="s">
        <v>33</v>
      </c>
      <c r="N7" s="6"/>
      <c r="O7" s="6"/>
      <c r="P7" s="24"/>
      <c r="Q7" s="6"/>
      <c r="R7" s="6"/>
      <c r="S7" s="6"/>
    </row>
    <row r="8" spans="1:19" x14ac:dyDescent="0.25">
      <c r="A8" s="22" t="s">
        <v>3394</v>
      </c>
      <c r="B8" s="6" t="s">
        <v>3365</v>
      </c>
      <c r="C8" s="6" t="s">
        <v>3395</v>
      </c>
      <c r="D8" s="6" t="s">
        <v>140</v>
      </c>
      <c r="E8" s="6" t="s">
        <v>104</v>
      </c>
      <c r="F8" s="6" t="s">
        <v>105</v>
      </c>
      <c r="G8" s="6" t="s">
        <v>80</v>
      </c>
      <c r="H8" s="6"/>
      <c r="I8" s="6" t="s">
        <v>3387</v>
      </c>
      <c r="J8" s="6" t="s">
        <v>3396</v>
      </c>
      <c r="K8" s="6" t="s">
        <v>3397</v>
      </c>
      <c r="L8" s="23"/>
      <c r="M8" s="6" t="s">
        <v>33</v>
      </c>
      <c r="N8" s="6"/>
      <c r="O8" s="6"/>
      <c r="P8" s="24"/>
      <c r="Q8" s="6"/>
      <c r="R8" s="6"/>
      <c r="S8" s="6"/>
    </row>
    <row r="9" spans="1:19" x14ac:dyDescent="0.25">
      <c r="A9" s="22" t="s">
        <v>3398</v>
      </c>
      <c r="B9" s="6" t="s">
        <v>3365</v>
      </c>
      <c r="C9" s="6" t="s">
        <v>3399</v>
      </c>
      <c r="D9" s="6" t="s">
        <v>103</v>
      </c>
      <c r="E9" s="6" t="s">
        <v>104</v>
      </c>
      <c r="F9" s="6" t="s">
        <v>105</v>
      </c>
      <c r="G9" s="6" t="s">
        <v>80</v>
      </c>
      <c r="H9" s="6"/>
      <c r="I9" s="6" t="s">
        <v>3387</v>
      </c>
      <c r="J9" s="6" t="s">
        <v>3400</v>
      </c>
      <c r="K9" s="6" t="s">
        <v>3401</v>
      </c>
      <c r="L9" s="23"/>
      <c r="M9" s="6" t="s">
        <v>33</v>
      </c>
      <c r="N9" s="6"/>
      <c r="O9" s="6"/>
      <c r="P9" s="24"/>
      <c r="Q9" s="6"/>
      <c r="R9" s="6"/>
      <c r="S9" s="6"/>
    </row>
    <row r="10" spans="1:19" x14ac:dyDescent="0.25">
      <c r="A10" s="22" t="s">
        <v>3402</v>
      </c>
      <c r="B10" s="6" t="s">
        <v>3365</v>
      </c>
      <c r="C10" s="6" t="s">
        <v>3403</v>
      </c>
      <c r="D10" s="6" t="s">
        <v>103</v>
      </c>
      <c r="E10" s="6" t="s">
        <v>113</v>
      </c>
      <c r="F10" s="6" t="s">
        <v>121</v>
      </c>
      <c r="G10" s="6" t="s">
        <v>80</v>
      </c>
      <c r="H10" s="6"/>
      <c r="I10" s="6" t="s">
        <v>3404</v>
      </c>
      <c r="J10" s="6" t="s">
        <v>3405</v>
      </c>
      <c r="K10" s="6" t="s">
        <v>3406</v>
      </c>
      <c r="L10" s="23"/>
      <c r="M10" s="6" t="s">
        <v>33</v>
      </c>
      <c r="N10" s="6"/>
      <c r="O10" s="6"/>
      <c r="P10" s="24"/>
      <c r="Q10" s="6"/>
      <c r="R10" s="6"/>
      <c r="S10" s="6"/>
    </row>
    <row r="11" spans="1:19" x14ac:dyDescent="0.25">
      <c r="A11" s="22" t="s">
        <v>3407</v>
      </c>
      <c r="B11" s="6" t="s">
        <v>3365</v>
      </c>
      <c r="C11" s="6" t="s">
        <v>3408</v>
      </c>
      <c r="D11" s="6" t="s">
        <v>120</v>
      </c>
      <c r="E11" s="6" t="s">
        <v>104</v>
      </c>
      <c r="F11" s="6" t="s">
        <v>127</v>
      </c>
      <c r="G11" s="6" t="s">
        <v>80</v>
      </c>
      <c r="H11" s="6"/>
      <c r="I11" s="6" t="s">
        <v>3409</v>
      </c>
      <c r="J11" s="6" t="s">
        <v>3410</v>
      </c>
      <c r="K11" s="6" t="s">
        <v>3411</v>
      </c>
      <c r="L11" s="23"/>
      <c r="M11" s="6" t="s">
        <v>33</v>
      </c>
      <c r="N11" s="6"/>
      <c r="O11" s="6"/>
      <c r="P11" s="24"/>
      <c r="Q11" s="6"/>
      <c r="R11" s="6"/>
      <c r="S11" s="6"/>
    </row>
    <row r="12" spans="1:19" x14ac:dyDescent="0.25">
      <c r="A12" s="22" t="s">
        <v>3412</v>
      </c>
      <c r="B12" s="6" t="s">
        <v>3365</v>
      </c>
      <c r="C12" s="6" t="s">
        <v>3413</v>
      </c>
      <c r="D12" s="6" t="s">
        <v>103</v>
      </c>
      <c r="E12" s="6" t="s">
        <v>104</v>
      </c>
      <c r="F12" s="6" t="s">
        <v>105</v>
      </c>
      <c r="G12" s="6" t="s">
        <v>80</v>
      </c>
      <c r="H12" s="6"/>
      <c r="I12" s="6" t="s">
        <v>3387</v>
      </c>
      <c r="J12" s="6" t="s">
        <v>3414</v>
      </c>
      <c r="K12" s="6" t="s">
        <v>3415</v>
      </c>
      <c r="L12" s="23"/>
      <c r="M12" s="6" t="s">
        <v>33</v>
      </c>
      <c r="N12" s="6"/>
      <c r="O12" s="6"/>
      <c r="P12" s="24"/>
      <c r="Q12" s="6"/>
      <c r="R12" s="6"/>
      <c r="S12" s="6"/>
    </row>
    <row r="13" spans="1:19" x14ac:dyDescent="0.25">
      <c r="A13" s="22" t="s">
        <v>3416</v>
      </c>
      <c r="B13" s="6" t="s">
        <v>3365</v>
      </c>
      <c r="C13" s="6" t="s">
        <v>3417</v>
      </c>
      <c r="D13" s="6" t="s">
        <v>112</v>
      </c>
      <c r="E13" s="6" t="s">
        <v>113</v>
      </c>
      <c r="F13" s="6" t="s">
        <v>105</v>
      </c>
      <c r="G13" s="6" t="s">
        <v>80</v>
      </c>
      <c r="H13" s="6"/>
      <c r="I13" s="6" t="s">
        <v>3367</v>
      </c>
      <c r="J13" s="6" t="s">
        <v>3418</v>
      </c>
      <c r="K13" s="6" t="s">
        <v>3419</v>
      </c>
      <c r="L13" s="23"/>
      <c r="M13" s="6" t="s">
        <v>33</v>
      </c>
      <c r="N13" s="6"/>
      <c r="O13" s="6"/>
      <c r="P13" s="24"/>
      <c r="Q13" s="6"/>
      <c r="R13" s="6"/>
      <c r="S13" s="6"/>
    </row>
    <row r="14" spans="1:19" x14ac:dyDescent="0.25">
      <c r="A14" s="22" t="s">
        <v>3420</v>
      </c>
      <c r="B14" s="6" t="s">
        <v>3421</v>
      </c>
      <c r="C14" s="6" t="s">
        <v>3422</v>
      </c>
      <c r="D14" s="6" t="s">
        <v>120</v>
      </c>
      <c r="E14" s="6" t="s">
        <v>113</v>
      </c>
      <c r="F14" s="6" t="s">
        <v>121</v>
      </c>
      <c r="G14" s="6" t="s">
        <v>80</v>
      </c>
      <c r="H14" s="6"/>
      <c r="I14" s="6" t="s">
        <v>3423</v>
      </c>
      <c r="J14" s="6" t="s">
        <v>3424</v>
      </c>
      <c r="K14" s="6" t="s">
        <v>3425</v>
      </c>
      <c r="L14" s="23"/>
      <c r="M14" s="6" t="s">
        <v>33</v>
      </c>
      <c r="N14" s="6"/>
      <c r="O14" s="6"/>
      <c r="P14" s="24"/>
      <c r="Q14" s="6"/>
      <c r="R14" s="6"/>
      <c r="S14" s="6"/>
    </row>
    <row r="15" spans="1:19" x14ac:dyDescent="0.25">
      <c r="A15" s="22" t="s">
        <v>3426</v>
      </c>
      <c r="B15" s="6" t="s">
        <v>3421</v>
      </c>
      <c r="C15" s="6" t="s">
        <v>3427</v>
      </c>
      <c r="D15" s="6" t="s">
        <v>209</v>
      </c>
      <c r="E15" s="6" t="s">
        <v>113</v>
      </c>
      <c r="F15" s="6" t="s">
        <v>105</v>
      </c>
      <c r="G15" s="6" t="s">
        <v>80</v>
      </c>
      <c r="H15" s="6"/>
      <c r="I15" s="6" t="s">
        <v>3428</v>
      </c>
      <c r="J15" s="6" t="s">
        <v>3429</v>
      </c>
      <c r="K15" s="6" t="s">
        <v>3430</v>
      </c>
      <c r="L15" s="23"/>
      <c r="M15" s="6" t="s">
        <v>33</v>
      </c>
      <c r="N15" s="6"/>
      <c r="O15" s="6"/>
      <c r="P15" s="24"/>
      <c r="Q15" s="6"/>
      <c r="R15" s="6"/>
      <c r="S15" s="6"/>
    </row>
    <row r="16" spans="1:19" x14ac:dyDescent="0.25">
      <c r="A16" s="22" t="s">
        <v>3431</v>
      </c>
      <c r="B16" s="6" t="s">
        <v>3421</v>
      </c>
      <c r="C16" s="6" t="s">
        <v>3432</v>
      </c>
      <c r="D16" s="6" t="s">
        <v>209</v>
      </c>
      <c r="E16" s="6" t="s">
        <v>113</v>
      </c>
      <c r="F16" s="6" t="s">
        <v>105</v>
      </c>
      <c r="G16" s="6" t="s">
        <v>80</v>
      </c>
      <c r="H16" s="6"/>
      <c r="I16" s="6" t="s">
        <v>3428</v>
      </c>
      <c r="J16" s="6" t="s">
        <v>3433</v>
      </c>
      <c r="K16" s="6" t="s">
        <v>3434</v>
      </c>
      <c r="L16" s="23" t="s">
        <v>117</v>
      </c>
      <c r="M16" s="6" t="s">
        <v>33</v>
      </c>
      <c r="N16" s="6"/>
      <c r="O16" s="6"/>
      <c r="P16" s="24"/>
      <c r="Q16" s="6"/>
      <c r="R16" s="6"/>
      <c r="S16" s="6"/>
    </row>
    <row r="17" spans="1:19" x14ac:dyDescent="0.25">
      <c r="A17" s="22" t="s">
        <v>3435</v>
      </c>
      <c r="B17" s="6" t="s">
        <v>3421</v>
      </c>
      <c r="C17" s="6" t="s">
        <v>3436</v>
      </c>
      <c r="D17" s="6" t="s">
        <v>112</v>
      </c>
      <c r="E17" s="6" t="s">
        <v>104</v>
      </c>
      <c r="F17" s="6" t="s">
        <v>105</v>
      </c>
      <c r="G17" s="6" t="s">
        <v>80</v>
      </c>
      <c r="H17" s="6"/>
      <c r="I17" s="6" t="s">
        <v>3437</v>
      </c>
      <c r="J17" s="6" t="s">
        <v>3438</v>
      </c>
      <c r="K17" s="6" t="s">
        <v>3439</v>
      </c>
      <c r="L17" s="23"/>
      <c r="M17" s="6" t="s">
        <v>33</v>
      </c>
      <c r="N17" s="6"/>
      <c r="O17" s="6"/>
      <c r="P17" s="24"/>
      <c r="Q17" s="6"/>
      <c r="R17" s="6"/>
      <c r="S17" s="6"/>
    </row>
    <row r="18" spans="1:19" x14ac:dyDescent="0.25">
      <c r="A18" s="22" t="s">
        <v>3440</v>
      </c>
      <c r="B18" s="6" t="s">
        <v>3421</v>
      </c>
      <c r="C18" s="6" t="s">
        <v>3441</v>
      </c>
      <c r="D18" s="6" t="s">
        <v>120</v>
      </c>
      <c r="E18" s="6" t="s">
        <v>145</v>
      </c>
      <c r="F18" s="6" t="s">
        <v>121</v>
      </c>
      <c r="G18" s="6" t="s">
        <v>80</v>
      </c>
      <c r="H18" s="6"/>
      <c r="I18" s="6" t="s">
        <v>3428</v>
      </c>
      <c r="J18" s="6" t="s">
        <v>3442</v>
      </c>
      <c r="K18" s="6" t="s">
        <v>3443</v>
      </c>
      <c r="L18" s="23"/>
      <c r="M18" s="6" t="s">
        <v>33</v>
      </c>
      <c r="N18" s="6"/>
      <c r="O18" s="6"/>
      <c r="P18" s="24"/>
      <c r="Q18" s="6"/>
      <c r="R18" s="6"/>
      <c r="S18" s="6"/>
    </row>
    <row r="19" spans="1:19" x14ac:dyDescent="0.25">
      <c r="A19" s="22" t="s">
        <v>3444</v>
      </c>
      <c r="B19" s="6" t="s">
        <v>3421</v>
      </c>
      <c r="C19" s="6" t="s">
        <v>3445</v>
      </c>
      <c r="D19" s="6" t="s">
        <v>112</v>
      </c>
      <c r="E19" s="6" t="s">
        <v>104</v>
      </c>
      <c r="F19" s="6" t="s">
        <v>105</v>
      </c>
      <c r="G19" s="6" t="s">
        <v>80</v>
      </c>
      <c r="H19" s="6"/>
      <c r="I19" s="6" t="s">
        <v>3446</v>
      </c>
      <c r="J19" s="6" t="s">
        <v>3447</v>
      </c>
      <c r="K19" s="6" t="s">
        <v>3448</v>
      </c>
      <c r="L19" s="23" t="s">
        <v>3449</v>
      </c>
      <c r="M19" s="6" t="s">
        <v>33</v>
      </c>
      <c r="N19" s="6"/>
      <c r="O19" s="6"/>
      <c r="P19" s="24"/>
      <c r="Q19" s="6"/>
      <c r="R19" s="6"/>
      <c r="S19" s="6"/>
    </row>
    <row r="20" spans="1:19" x14ac:dyDescent="0.25">
      <c r="A20" s="22" t="s">
        <v>3450</v>
      </c>
      <c r="B20" s="6" t="s">
        <v>3421</v>
      </c>
      <c r="C20" s="6" t="s">
        <v>3451</v>
      </c>
      <c r="D20" s="6" t="s">
        <v>140</v>
      </c>
      <c r="E20" s="6" t="s">
        <v>104</v>
      </c>
      <c r="F20" s="6" t="s">
        <v>105</v>
      </c>
      <c r="G20" s="6" t="s">
        <v>80</v>
      </c>
      <c r="H20" s="6"/>
      <c r="I20" s="6" t="s">
        <v>3387</v>
      </c>
      <c r="J20" s="6" t="s">
        <v>3452</v>
      </c>
      <c r="K20" s="6" t="s">
        <v>3453</v>
      </c>
      <c r="L20" s="23"/>
      <c r="M20" s="6" t="s">
        <v>33</v>
      </c>
      <c r="N20" s="6"/>
      <c r="O20" s="6"/>
      <c r="P20" s="24"/>
      <c r="Q20" s="6"/>
      <c r="R20" s="6"/>
      <c r="S20" s="6"/>
    </row>
    <row r="21" spans="1:19" x14ac:dyDescent="0.25">
      <c r="A21" s="22" t="s">
        <v>3454</v>
      </c>
      <c r="B21" s="6" t="s">
        <v>3421</v>
      </c>
      <c r="C21" s="6" t="s">
        <v>3455</v>
      </c>
      <c r="D21" s="6" t="s">
        <v>140</v>
      </c>
      <c r="E21" s="6" t="s">
        <v>104</v>
      </c>
      <c r="F21" s="6" t="s">
        <v>105</v>
      </c>
      <c r="G21" s="6" t="s">
        <v>80</v>
      </c>
      <c r="H21" s="6"/>
      <c r="I21" s="6" t="s">
        <v>3428</v>
      </c>
      <c r="J21" s="6" t="s">
        <v>3456</v>
      </c>
      <c r="K21" s="6" t="s">
        <v>3457</v>
      </c>
      <c r="L21" s="23"/>
      <c r="M21" s="6" t="s">
        <v>33</v>
      </c>
      <c r="N21" s="6"/>
      <c r="O21" s="6"/>
      <c r="P21" s="24"/>
      <c r="Q21" s="6"/>
      <c r="R21" s="6"/>
      <c r="S21" s="6"/>
    </row>
    <row r="22" spans="1:19" x14ac:dyDescent="0.25">
      <c r="A22" s="22" t="s">
        <v>3458</v>
      </c>
      <c r="B22" s="6" t="s">
        <v>3421</v>
      </c>
      <c r="C22" s="6" t="s">
        <v>3459</v>
      </c>
      <c r="D22" s="6" t="s">
        <v>112</v>
      </c>
      <c r="E22" s="6" t="s">
        <v>104</v>
      </c>
      <c r="F22" s="6" t="s">
        <v>121</v>
      </c>
      <c r="G22" s="6" t="s">
        <v>80</v>
      </c>
      <c r="H22" s="6"/>
      <c r="I22" s="6" t="s">
        <v>3460</v>
      </c>
      <c r="J22" s="6" t="s">
        <v>3461</v>
      </c>
      <c r="K22" s="6" t="s">
        <v>3462</v>
      </c>
      <c r="L22" s="23"/>
      <c r="M22" s="6" t="s">
        <v>33</v>
      </c>
      <c r="N22" s="6"/>
      <c r="O22" s="6"/>
      <c r="P22" s="24"/>
      <c r="Q22" s="6"/>
      <c r="R22" s="6"/>
      <c r="S22" s="6"/>
    </row>
    <row r="23" spans="1:19" x14ac:dyDescent="0.25">
      <c r="A23" s="22" t="s">
        <v>3463</v>
      </c>
      <c r="B23" s="6" t="s">
        <v>3421</v>
      </c>
      <c r="C23" s="6" t="s">
        <v>3464</v>
      </c>
      <c r="D23" s="6" t="s">
        <v>103</v>
      </c>
      <c r="E23" s="6" t="s">
        <v>104</v>
      </c>
      <c r="F23" s="6" t="s">
        <v>105</v>
      </c>
      <c r="G23" s="6" t="s">
        <v>80</v>
      </c>
      <c r="H23" s="6"/>
      <c r="I23" s="6" t="s">
        <v>3404</v>
      </c>
      <c r="J23" s="6" t="s">
        <v>3465</v>
      </c>
      <c r="K23" s="6" t="s">
        <v>3466</v>
      </c>
      <c r="L23" s="23"/>
      <c r="M23" s="6" t="s">
        <v>33</v>
      </c>
      <c r="N23" s="6"/>
      <c r="O23" s="6"/>
      <c r="P23" s="24"/>
      <c r="Q23" s="6"/>
      <c r="R23" s="6"/>
      <c r="S23" s="6"/>
    </row>
    <row r="24" spans="1:19" x14ac:dyDescent="0.25">
      <c r="A24" s="22" t="s">
        <v>3467</v>
      </c>
      <c r="B24" s="6" t="s">
        <v>3421</v>
      </c>
      <c r="C24" s="6" t="s">
        <v>3468</v>
      </c>
      <c r="D24" s="6" t="s">
        <v>140</v>
      </c>
      <c r="E24" s="6" t="s">
        <v>104</v>
      </c>
      <c r="F24" s="6" t="s">
        <v>105</v>
      </c>
      <c r="G24" s="6" t="s">
        <v>80</v>
      </c>
      <c r="H24" s="6"/>
      <c r="I24" s="6" t="s">
        <v>3372</v>
      </c>
      <c r="J24" s="6" t="s">
        <v>3469</v>
      </c>
      <c r="K24" s="6" t="s">
        <v>3470</v>
      </c>
      <c r="L24" s="23"/>
      <c r="M24" s="6" t="s">
        <v>33</v>
      </c>
      <c r="N24" s="6"/>
      <c r="O24" s="6"/>
      <c r="P24" s="24"/>
      <c r="Q24" s="6"/>
      <c r="R24" s="6"/>
      <c r="S24" s="6"/>
    </row>
    <row r="25" spans="1:19" x14ac:dyDescent="0.25">
      <c r="A25" s="22" t="s">
        <v>3471</v>
      </c>
      <c r="B25" s="6" t="s">
        <v>3421</v>
      </c>
      <c r="C25" s="6" t="s">
        <v>3472</v>
      </c>
      <c r="D25" s="6" t="s">
        <v>112</v>
      </c>
      <c r="E25" s="6" t="s">
        <v>104</v>
      </c>
      <c r="F25" s="6" t="s">
        <v>105</v>
      </c>
      <c r="G25" s="6" t="s">
        <v>80</v>
      </c>
      <c r="H25" s="6"/>
      <c r="I25" s="6" t="s">
        <v>3473</v>
      </c>
      <c r="J25" s="6" t="s">
        <v>3474</v>
      </c>
      <c r="K25" s="6" t="s">
        <v>3475</v>
      </c>
      <c r="L25" s="23"/>
      <c r="M25" s="6" t="s">
        <v>33</v>
      </c>
      <c r="N25" s="6"/>
      <c r="O25" s="6"/>
      <c r="P25" s="24"/>
      <c r="Q25" s="6"/>
      <c r="R25" s="6"/>
      <c r="S25" s="6"/>
    </row>
    <row r="26" spans="1:19" x14ac:dyDescent="0.25">
      <c r="A26" s="22" t="s">
        <v>3476</v>
      </c>
      <c r="B26" s="6" t="s">
        <v>3421</v>
      </c>
      <c r="C26" s="6" t="s">
        <v>3477</v>
      </c>
      <c r="D26" s="6" t="s">
        <v>103</v>
      </c>
      <c r="E26" s="6" t="s">
        <v>104</v>
      </c>
      <c r="F26" s="6" t="s">
        <v>105</v>
      </c>
      <c r="G26" s="6" t="s">
        <v>80</v>
      </c>
      <c r="H26" s="6"/>
      <c r="I26" s="6" t="s">
        <v>3478</v>
      </c>
      <c r="J26" s="6" t="s">
        <v>3479</v>
      </c>
      <c r="K26" s="6" t="s">
        <v>3480</v>
      </c>
      <c r="L26" s="23"/>
      <c r="M26" s="6" t="s">
        <v>33</v>
      </c>
      <c r="N26" s="6"/>
      <c r="O26" s="6"/>
      <c r="P26" s="24"/>
      <c r="Q26" s="6"/>
      <c r="R26" s="6"/>
      <c r="S26" s="6"/>
    </row>
    <row r="27" spans="1:19" x14ac:dyDescent="0.25">
      <c r="A27" s="22" t="s">
        <v>3481</v>
      </c>
      <c r="B27" s="6" t="s">
        <v>3421</v>
      </c>
      <c r="C27" s="6" t="s">
        <v>3482</v>
      </c>
      <c r="D27" s="6" t="s">
        <v>140</v>
      </c>
      <c r="E27" s="6" t="s">
        <v>104</v>
      </c>
      <c r="F27" s="6" t="s">
        <v>105</v>
      </c>
      <c r="G27" s="6" t="s">
        <v>80</v>
      </c>
      <c r="H27" s="6"/>
      <c r="I27" s="6" t="s">
        <v>3483</v>
      </c>
      <c r="J27" s="6" t="s">
        <v>3484</v>
      </c>
      <c r="K27" s="6" t="s">
        <v>3485</v>
      </c>
      <c r="L27" s="23"/>
      <c r="M27" s="6" t="s">
        <v>33</v>
      </c>
      <c r="N27" s="6"/>
      <c r="O27" s="6"/>
      <c r="P27" s="24"/>
      <c r="Q27" s="6"/>
      <c r="R27" s="6"/>
      <c r="S27" s="6"/>
    </row>
    <row r="28" spans="1:19" x14ac:dyDescent="0.25">
      <c r="A28" s="22" t="s">
        <v>3486</v>
      </c>
      <c r="B28" s="6" t="s">
        <v>3421</v>
      </c>
      <c r="C28" s="6" t="s">
        <v>3487</v>
      </c>
      <c r="D28" s="6" t="s">
        <v>209</v>
      </c>
      <c r="E28" s="6" t="s">
        <v>104</v>
      </c>
      <c r="F28" s="6" t="s">
        <v>105</v>
      </c>
      <c r="G28" s="6" t="s">
        <v>80</v>
      </c>
      <c r="H28" s="6"/>
      <c r="I28" s="6" t="s">
        <v>3488</v>
      </c>
      <c r="J28" s="6" t="s">
        <v>3489</v>
      </c>
      <c r="K28" s="6" t="s">
        <v>3490</v>
      </c>
      <c r="L28" s="23"/>
      <c r="M28" s="6" t="s">
        <v>33</v>
      </c>
      <c r="N28" s="6"/>
      <c r="O28" s="6"/>
      <c r="P28" s="24"/>
      <c r="Q28" s="6"/>
      <c r="R28" s="6"/>
      <c r="S28" s="6"/>
    </row>
    <row r="29" spans="1:19" x14ac:dyDescent="0.25">
      <c r="A29" s="22" t="s">
        <v>3491</v>
      </c>
      <c r="B29" s="6" t="s">
        <v>3421</v>
      </c>
      <c r="C29" s="6" t="s">
        <v>3492</v>
      </c>
      <c r="D29" s="6" t="s">
        <v>103</v>
      </c>
      <c r="E29" s="6" t="s">
        <v>104</v>
      </c>
      <c r="F29" s="6" t="s">
        <v>105</v>
      </c>
      <c r="G29" s="6" t="s">
        <v>80</v>
      </c>
      <c r="H29" s="6"/>
      <c r="I29" s="6" t="s">
        <v>3493</v>
      </c>
      <c r="J29" s="6" t="s">
        <v>3494</v>
      </c>
      <c r="K29" s="6" t="s">
        <v>3495</v>
      </c>
      <c r="L29" s="23"/>
      <c r="M29" s="6" t="s">
        <v>33</v>
      </c>
      <c r="N29" s="6"/>
      <c r="O29" s="6"/>
      <c r="P29" s="24"/>
      <c r="Q29" s="6"/>
      <c r="R29" s="6"/>
      <c r="S29" s="6"/>
    </row>
    <row r="30" spans="1:19" x14ac:dyDescent="0.25">
      <c r="A30" s="22" t="s">
        <v>3496</v>
      </c>
      <c r="B30" s="6" t="s">
        <v>3421</v>
      </c>
      <c r="C30" s="6" t="s">
        <v>3497</v>
      </c>
      <c r="D30" s="6" t="s">
        <v>103</v>
      </c>
      <c r="E30" s="6" t="s">
        <v>104</v>
      </c>
      <c r="F30" s="6" t="s">
        <v>105</v>
      </c>
      <c r="G30" s="6" t="s">
        <v>80</v>
      </c>
      <c r="H30" s="6"/>
      <c r="I30" s="6" t="s">
        <v>3498</v>
      </c>
      <c r="J30" s="6" t="s">
        <v>3499</v>
      </c>
      <c r="K30" s="6" t="s">
        <v>3500</v>
      </c>
      <c r="L30" s="23"/>
      <c r="M30" s="6" t="s">
        <v>33</v>
      </c>
      <c r="N30" s="6"/>
      <c r="O30" s="6"/>
      <c r="P30" s="24"/>
      <c r="Q30" s="6"/>
      <c r="R30" s="6"/>
      <c r="S30" s="6"/>
    </row>
    <row r="31" spans="1:19" x14ac:dyDescent="0.25">
      <c r="A31" s="22" t="s">
        <v>3501</v>
      </c>
      <c r="B31" s="6" t="s">
        <v>3421</v>
      </c>
      <c r="C31" s="6" t="s">
        <v>3502</v>
      </c>
      <c r="D31" s="6" t="s">
        <v>209</v>
      </c>
      <c r="E31" s="6" t="s">
        <v>113</v>
      </c>
      <c r="F31" s="6" t="s">
        <v>105</v>
      </c>
      <c r="G31" s="6" t="s">
        <v>80</v>
      </c>
      <c r="H31" s="6"/>
      <c r="I31" s="6" t="s">
        <v>3428</v>
      </c>
      <c r="J31" s="6" t="s">
        <v>3503</v>
      </c>
      <c r="K31" s="6" t="s">
        <v>3504</v>
      </c>
      <c r="L31" s="23" t="s">
        <v>3505</v>
      </c>
      <c r="M31" s="6" t="s">
        <v>33</v>
      </c>
      <c r="N31" s="6"/>
      <c r="O31" s="6"/>
      <c r="P31" s="24"/>
      <c r="Q31" s="6"/>
      <c r="R31" s="6"/>
      <c r="S31" s="6"/>
    </row>
    <row r="32" spans="1:19" x14ac:dyDescent="0.25">
      <c r="A32" s="22" t="s">
        <v>3506</v>
      </c>
      <c r="B32" s="6" t="s">
        <v>3421</v>
      </c>
      <c r="C32" s="6" t="s">
        <v>3507</v>
      </c>
      <c r="D32" s="6" t="s">
        <v>112</v>
      </c>
      <c r="E32" s="6" t="s">
        <v>113</v>
      </c>
      <c r="F32" s="6" t="s">
        <v>105</v>
      </c>
      <c r="G32" s="6" t="s">
        <v>80</v>
      </c>
      <c r="H32" s="6"/>
      <c r="I32" s="6" t="s">
        <v>3428</v>
      </c>
      <c r="J32" s="6" t="s">
        <v>3508</v>
      </c>
      <c r="K32" s="6" t="s">
        <v>3509</v>
      </c>
      <c r="L32" s="23"/>
      <c r="M32" s="6" t="s">
        <v>33</v>
      </c>
      <c r="N32" s="6"/>
      <c r="O32" s="6"/>
      <c r="P32" s="24"/>
      <c r="Q32" s="6"/>
      <c r="R32" s="6"/>
      <c r="S32" s="6"/>
    </row>
    <row r="33" spans="1:19" x14ac:dyDescent="0.25">
      <c r="A33" s="22" t="s">
        <v>3510</v>
      </c>
      <c r="B33" s="6" t="s">
        <v>138</v>
      </c>
      <c r="C33" s="6" t="s">
        <v>3511</v>
      </c>
      <c r="D33" s="6" t="s">
        <v>140</v>
      </c>
      <c r="E33" s="6" t="s">
        <v>104</v>
      </c>
      <c r="F33" s="6" t="s">
        <v>105</v>
      </c>
      <c r="G33" s="6" t="s">
        <v>80</v>
      </c>
      <c r="H33" s="6"/>
      <c r="I33" s="6" t="s">
        <v>3387</v>
      </c>
      <c r="J33" s="6" t="s">
        <v>3512</v>
      </c>
      <c r="K33" s="6" t="s">
        <v>3513</v>
      </c>
      <c r="L33" s="23"/>
      <c r="M33" s="6" t="s">
        <v>33</v>
      </c>
      <c r="N33" s="6"/>
      <c r="O33" s="6"/>
      <c r="P33" s="24"/>
      <c r="Q33" s="6"/>
      <c r="R33" s="6"/>
      <c r="S33" s="6"/>
    </row>
    <row r="34" spans="1:19" x14ac:dyDescent="0.25">
      <c r="A34" s="22" t="s">
        <v>3514</v>
      </c>
      <c r="B34" s="6" t="s">
        <v>138</v>
      </c>
      <c r="C34" s="6" t="s">
        <v>3515</v>
      </c>
      <c r="D34" s="6" t="s">
        <v>140</v>
      </c>
      <c r="E34" s="6" t="s">
        <v>104</v>
      </c>
      <c r="F34" s="6" t="s">
        <v>105</v>
      </c>
      <c r="G34" s="6" t="s">
        <v>80</v>
      </c>
      <c r="H34" s="6"/>
      <c r="I34" s="6" t="s">
        <v>3516</v>
      </c>
      <c r="J34" s="6" t="s">
        <v>3517</v>
      </c>
      <c r="K34" s="6" t="s">
        <v>3518</v>
      </c>
      <c r="L34" s="23"/>
      <c r="M34" s="6" t="s">
        <v>33</v>
      </c>
      <c r="N34" s="6"/>
      <c r="O34" s="6"/>
      <c r="P34" s="24"/>
      <c r="Q34" s="6"/>
      <c r="R34" s="6"/>
      <c r="S34" s="6"/>
    </row>
    <row r="35" spans="1:19" x14ac:dyDescent="0.25">
      <c r="A35" s="22" t="s">
        <v>3519</v>
      </c>
      <c r="B35" s="6" t="s">
        <v>138</v>
      </c>
      <c r="C35" s="6" t="s">
        <v>3520</v>
      </c>
      <c r="D35" s="6" t="s">
        <v>140</v>
      </c>
      <c r="E35" s="6" t="s">
        <v>104</v>
      </c>
      <c r="F35" s="6" t="s">
        <v>105</v>
      </c>
      <c r="G35" s="6" t="s">
        <v>80</v>
      </c>
      <c r="H35" s="6"/>
      <c r="I35" s="6" t="s">
        <v>3404</v>
      </c>
      <c r="J35" s="6" t="s">
        <v>3521</v>
      </c>
      <c r="K35" s="6" t="s">
        <v>3522</v>
      </c>
      <c r="L35" s="23"/>
      <c r="M35" s="6" t="s">
        <v>33</v>
      </c>
      <c r="N35" s="6"/>
      <c r="O35" s="6"/>
      <c r="P35" s="24"/>
      <c r="Q35" s="6"/>
      <c r="R35" s="6"/>
      <c r="S35" s="6"/>
    </row>
    <row r="36" spans="1:19" x14ac:dyDescent="0.25">
      <c r="A36" s="22" t="s">
        <v>3523</v>
      </c>
      <c r="B36" s="6" t="s">
        <v>138</v>
      </c>
      <c r="C36" s="6" t="s">
        <v>3524</v>
      </c>
      <c r="D36" s="6" t="s">
        <v>140</v>
      </c>
      <c r="E36" s="6" t="s">
        <v>104</v>
      </c>
      <c r="F36" s="6" t="s">
        <v>105</v>
      </c>
      <c r="G36" s="6" t="s">
        <v>80</v>
      </c>
      <c r="H36" s="6"/>
      <c r="I36" s="6" t="s">
        <v>3525</v>
      </c>
      <c r="J36" s="6" t="s">
        <v>3526</v>
      </c>
      <c r="K36" s="6" t="s">
        <v>3527</v>
      </c>
      <c r="L36" s="23"/>
      <c r="M36" s="6" t="s">
        <v>33</v>
      </c>
      <c r="N36" s="6"/>
      <c r="O36" s="6"/>
      <c r="P36" s="24"/>
      <c r="Q36" s="6"/>
      <c r="R36" s="6"/>
      <c r="S36" s="6"/>
    </row>
    <row r="37" spans="1:19" x14ac:dyDescent="0.25">
      <c r="A37" s="22" t="s">
        <v>3528</v>
      </c>
      <c r="B37" s="6" t="s">
        <v>138</v>
      </c>
      <c r="C37" s="6" t="s">
        <v>3529</v>
      </c>
      <c r="D37" s="6" t="s">
        <v>140</v>
      </c>
      <c r="E37" s="6" t="s">
        <v>104</v>
      </c>
      <c r="F37" s="6" t="s">
        <v>105</v>
      </c>
      <c r="G37" s="6" t="s">
        <v>80</v>
      </c>
      <c r="H37" s="6"/>
      <c r="I37" s="6" t="s">
        <v>3530</v>
      </c>
      <c r="J37" s="6" t="s">
        <v>3531</v>
      </c>
      <c r="K37" s="6" t="s">
        <v>3532</v>
      </c>
      <c r="L37" s="23"/>
      <c r="M37" s="6" t="s">
        <v>33</v>
      </c>
      <c r="N37" s="6"/>
      <c r="O37" s="6"/>
      <c r="P37" s="24"/>
      <c r="Q37" s="6"/>
      <c r="R37" s="6"/>
      <c r="S37" s="6"/>
    </row>
    <row r="38" spans="1:19" x14ac:dyDescent="0.25">
      <c r="A38" s="22" t="s">
        <v>3533</v>
      </c>
      <c r="B38" s="6" t="s">
        <v>138</v>
      </c>
      <c r="C38" s="6" t="s">
        <v>3534</v>
      </c>
      <c r="D38" s="6" t="s">
        <v>140</v>
      </c>
      <c r="E38" s="6" t="s">
        <v>113</v>
      </c>
      <c r="F38" s="6" t="s">
        <v>105</v>
      </c>
      <c r="G38" s="6" t="s">
        <v>80</v>
      </c>
      <c r="H38" s="6"/>
      <c r="I38" s="6" t="s">
        <v>3535</v>
      </c>
      <c r="J38" s="6" t="s">
        <v>3536</v>
      </c>
      <c r="K38" s="6" t="s">
        <v>3537</v>
      </c>
      <c r="L38" s="23"/>
      <c r="M38" s="6" t="s">
        <v>33</v>
      </c>
      <c r="N38" s="6"/>
      <c r="O38" s="6"/>
      <c r="P38" s="24"/>
      <c r="Q38" s="6"/>
      <c r="R38" s="6"/>
      <c r="S38" s="6"/>
    </row>
    <row r="39" spans="1:19" x14ac:dyDescent="0.25">
      <c r="A39" s="22" t="s">
        <v>3538</v>
      </c>
      <c r="B39" s="6" t="s">
        <v>138</v>
      </c>
      <c r="C39" s="6" t="s">
        <v>3539</v>
      </c>
      <c r="D39" s="6" t="s">
        <v>140</v>
      </c>
      <c r="E39" s="6" t="s">
        <v>113</v>
      </c>
      <c r="F39" s="6" t="s">
        <v>105</v>
      </c>
      <c r="G39" s="6" t="s">
        <v>80</v>
      </c>
      <c r="H39" s="6"/>
      <c r="I39" s="6" t="s">
        <v>3535</v>
      </c>
      <c r="J39" s="6" t="s">
        <v>3540</v>
      </c>
      <c r="K39" s="6" t="s">
        <v>3541</v>
      </c>
      <c r="L39" s="23"/>
      <c r="M39" s="6" t="s">
        <v>33</v>
      </c>
      <c r="N39" s="6"/>
      <c r="O39" s="6"/>
      <c r="P39" s="24"/>
      <c r="Q39" s="6"/>
      <c r="R39" s="6"/>
      <c r="S39" s="6"/>
    </row>
    <row r="40" spans="1:19" x14ac:dyDescent="0.25">
      <c r="A40" s="22" t="s">
        <v>3542</v>
      </c>
      <c r="B40" s="6" t="s">
        <v>138</v>
      </c>
      <c r="C40" s="6" t="s">
        <v>3543</v>
      </c>
      <c r="D40" s="6" t="s">
        <v>140</v>
      </c>
      <c r="E40" s="6" t="s">
        <v>113</v>
      </c>
      <c r="F40" s="6" t="s">
        <v>105</v>
      </c>
      <c r="G40" s="6" t="s">
        <v>80</v>
      </c>
      <c r="H40" s="6"/>
      <c r="I40" s="6" t="s">
        <v>3544</v>
      </c>
      <c r="J40" s="6" t="s">
        <v>3545</v>
      </c>
      <c r="K40" s="6" t="s">
        <v>3546</v>
      </c>
      <c r="L40" s="23"/>
      <c r="M40" s="6" t="s">
        <v>33</v>
      </c>
      <c r="N40" s="6"/>
      <c r="O40" s="6"/>
      <c r="P40" s="24"/>
      <c r="Q40" s="6"/>
      <c r="R40" s="6"/>
      <c r="S40" s="6"/>
    </row>
    <row r="41" spans="1:19" x14ac:dyDescent="0.25">
      <c r="A41" s="22" t="s">
        <v>3547</v>
      </c>
      <c r="B41" s="6" t="s">
        <v>138</v>
      </c>
      <c r="C41" s="6" t="s">
        <v>3548</v>
      </c>
      <c r="D41" s="6" t="s">
        <v>140</v>
      </c>
      <c r="E41" s="6" t="s">
        <v>104</v>
      </c>
      <c r="F41" s="6" t="s">
        <v>105</v>
      </c>
      <c r="G41" s="6" t="s">
        <v>80</v>
      </c>
      <c r="H41" s="6"/>
      <c r="I41" s="6" t="s">
        <v>3549</v>
      </c>
      <c r="J41" s="6" t="s">
        <v>3550</v>
      </c>
      <c r="K41" s="6" t="s">
        <v>3551</v>
      </c>
      <c r="L41" s="23"/>
      <c r="M41" s="6" t="s">
        <v>33</v>
      </c>
      <c r="N41" s="6"/>
      <c r="O41" s="6"/>
      <c r="P41" s="24"/>
      <c r="Q41" s="6"/>
      <c r="R41" s="6"/>
      <c r="S41" s="6"/>
    </row>
    <row r="42" spans="1:19" x14ac:dyDescent="0.25">
      <c r="A42" s="22" t="s">
        <v>3552</v>
      </c>
      <c r="B42" s="6" t="s">
        <v>138</v>
      </c>
      <c r="C42" s="6" t="s">
        <v>3553</v>
      </c>
      <c r="D42" s="6" t="s">
        <v>140</v>
      </c>
      <c r="E42" s="6" t="s">
        <v>104</v>
      </c>
      <c r="F42" s="6" t="s">
        <v>105</v>
      </c>
      <c r="G42" s="6" t="s">
        <v>80</v>
      </c>
      <c r="H42" s="6"/>
      <c r="I42" s="6" t="s">
        <v>3554</v>
      </c>
      <c r="J42" s="6" t="s">
        <v>3555</v>
      </c>
      <c r="K42" s="6" t="s">
        <v>3556</v>
      </c>
      <c r="L42" s="23" t="s">
        <v>356</v>
      </c>
      <c r="M42" s="6" t="s">
        <v>33</v>
      </c>
      <c r="N42" s="6"/>
      <c r="O42" s="6"/>
      <c r="P42" s="24"/>
      <c r="Q42" s="6"/>
      <c r="R42" s="6"/>
      <c r="S42" s="6"/>
    </row>
    <row r="43" spans="1:19" x14ac:dyDescent="0.25">
      <c r="A43" s="22" t="s">
        <v>3557</v>
      </c>
      <c r="B43" s="6" t="s">
        <v>3558</v>
      </c>
      <c r="C43" s="6" t="s">
        <v>3559</v>
      </c>
      <c r="D43" s="6" t="s">
        <v>120</v>
      </c>
      <c r="E43" s="6" t="s">
        <v>104</v>
      </c>
      <c r="F43" s="6" t="s">
        <v>127</v>
      </c>
      <c r="G43" s="6" t="s">
        <v>80</v>
      </c>
      <c r="H43" s="6"/>
      <c r="I43" s="6" t="s">
        <v>3560</v>
      </c>
      <c r="J43" s="6" t="s">
        <v>3561</v>
      </c>
      <c r="K43" s="6" t="s">
        <v>3562</v>
      </c>
      <c r="L43" s="23"/>
      <c r="M43" s="6" t="s">
        <v>33</v>
      </c>
      <c r="N43" s="6"/>
      <c r="O43" s="6"/>
      <c r="P43" s="24"/>
      <c r="Q43" s="6"/>
      <c r="R43" s="6"/>
      <c r="S43" s="6"/>
    </row>
    <row r="44" spans="1:19" x14ac:dyDescent="0.25">
      <c r="A44" s="22" t="s">
        <v>3563</v>
      </c>
      <c r="B44" s="6" t="s">
        <v>3558</v>
      </c>
      <c r="C44" s="6" t="s">
        <v>3564</v>
      </c>
      <c r="D44" s="6" t="s">
        <v>120</v>
      </c>
      <c r="E44" s="6" t="s">
        <v>104</v>
      </c>
      <c r="F44" s="6" t="s">
        <v>127</v>
      </c>
      <c r="G44" s="6" t="s">
        <v>80</v>
      </c>
      <c r="H44" s="6"/>
      <c r="I44" s="6" t="s">
        <v>3565</v>
      </c>
      <c r="J44" s="6" t="s">
        <v>3566</v>
      </c>
      <c r="K44" s="6" t="s">
        <v>3567</v>
      </c>
      <c r="L44" s="23"/>
      <c r="M44" s="6" t="s">
        <v>33</v>
      </c>
      <c r="N44" s="6"/>
      <c r="O44" s="6"/>
      <c r="P44" s="24"/>
      <c r="Q44" s="6"/>
      <c r="R44" s="6"/>
      <c r="S44" s="6"/>
    </row>
    <row r="45" spans="1:19" x14ac:dyDescent="0.25">
      <c r="A45" s="22" t="s">
        <v>3568</v>
      </c>
      <c r="B45" s="6" t="s">
        <v>3558</v>
      </c>
      <c r="C45" s="6" t="s">
        <v>3569</v>
      </c>
      <c r="D45" s="6" t="s">
        <v>120</v>
      </c>
      <c r="E45" s="6" t="s">
        <v>104</v>
      </c>
      <c r="F45" s="6" t="s">
        <v>127</v>
      </c>
      <c r="G45" s="6" t="s">
        <v>80</v>
      </c>
      <c r="H45" s="6"/>
      <c r="I45" s="6" t="s">
        <v>3570</v>
      </c>
      <c r="J45" s="6" t="s">
        <v>3571</v>
      </c>
      <c r="K45" s="6" t="s">
        <v>3572</v>
      </c>
      <c r="L45" s="23"/>
      <c r="M45" s="6" t="s">
        <v>33</v>
      </c>
      <c r="N45" s="6"/>
      <c r="O45" s="6"/>
      <c r="P45" s="24"/>
      <c r="Q45" s="6"/>
      <c r="R45" s="6"/>
      <c r="S45" s="6"/>
    </row>
    <row r="46" spans="1:19" x14ac:dyDescent="0.25">
      <c r="A46" s="22" t="s">
        <v>3573</v>
      </c>
      <c r="B46" s="6" t="s">
        <v>3558</v>
      </c>
      <c r="C46" s="6" t="s">
        <v>3574</v>
      </c>
      <c r="D46" s="6" t="s">
        <v>120</v>
      </c>
      <c r="E46" s="6" t="s">
        <v>113</v>
      </c>
      <c r="F46" s="6" t="s">
        <v>127</v>
      </c>
      <c r="G46" s="6" t="s">
        <v>80</v>
      </c>
      <c r="H46" s="6"/>
      <c r="I46" s="6" t="s">
        <v>3570</v>
      </c>
      <c r="J46" s="6" t="s">
        <v>3575</v>
      </c>
      <c r="K46" s="6" t="s">
        <v>3576</v>
      </c>
      <c r="L46" s="23"/>
      <c r="M46" s="6" t="s">
        <v>33</v>
      </c>
      <c r="N46" s="6"/>
      <c r="O46" s="6"/>
      <c r="P46" s="24"/>
      <c r="Q46" s="6"/>
      <c r="R46" s="6"/>
      <c r="S46" s="6"/>
    </row>
    <row r="47" spans="1:19" x14ac:dyDescent="0.25">
      <c r="A47" s="22" t="s">
        <v>3577</v>
      </c>
      <c r="B47" s="6" t="s">
        <v>3558</v>
      </c>
      <c r="C47" s="6" t="s">
        <v>3578</v>
      </c>
      <c r="D47" s="6" t="s">
        <v>120</v>
      </c>
      <c r="E47" s="6" t="s">
        <v>113</v>
      </c>
      <c r="F47" s="6" t="s">
        <v>127</v>
      </c>
      <c r="G47" s="6" t="s">
        <v>80</v>
      </c>
      <c r="H47" s="6"/>
      <c r="I47" s="6" t="s">
        <v>3579</v>
      </c>
      <c r="J47" s="6" t="s">
        <v>3580</v>
      </c>
      <c r="K47" s="6" t="s">
        <v>3581</v>
      </c>
      <c r="L47" s="23"/>
      <c r="M47" s="6" t="s">
        <v>33</v>
      </c>
      <c r="N47" s="6"/>
      <c r="O47" s="6"/>
      <c r="P47" s="24"/>
      <c r="Q47" s="6"/>
      <c r="R47" s="6"/>
      <c r="S47" s="6"/>
    </row>
    <row r="48" spans="1:19" x14ac:dyDescent="0.25">
      <c r="A48" s="22" t="s">
        <v>3582</v>
      </c>
      <c r="B48" s="6" t="s">
        <v>3558</v>
      </c>
      <c r="C48" s="6" t="s">
        <v>3583</v>
      </c>
      <c r="D48" s="6" t="s">
        <v>120</v>
      </c>
      <c r="E48" s="6" t="s">
        <v>113</v>
      </c>
      <c r="F48" s="6" t="s">
        <v>105</v>
      </c>
      <c r="G48" s="6" t="s">
        <v>80</v>
      </c>
      <c r="H48" s="6"/>
      <c r="I48" s="6" t="s">
        <v>3584</v>
      </c>
      <c r="J48" s="6" t="s">
        <v>3585</v>
      </c>
      <c r="K48" s="6" t="s">
        <v>3586</v>
      </c>
      <c r="L48" s="23"/>
      <c r="M48" s="6" t="s">
        <v>33</v>
      </c>
      <c r="N48" s="6"/>
      <c r="O48" s="6"/>
      <c r="P48" s="24"/>
      <c r="Q48" s="6"/>
      <c r="R48" s="6"/>
      <c r="S48" s="6"/>
    </row>
    <row r="49" spans="1:19" x14ac:dyDescent="0.25">
      <c r="A49" s="22" t="s">
        <v>3587</v>
      </c>
      <c r="B49" s="6" t="s">
        <v>3558</v>
      </c>
      <c r="C49" s="6" t="s">
        <v>3588</v>
      </c>
      <c r="D49" s="6" t="s">
        <v>120</v>
      </c>
      <c r="E49" s="6" t="s">
        <v>104</v>
      </c>
      <c r="F49" s="6" t="s">
        <v>121</v>
      </c>
      <c r="G49" s="6" t="s">
        <v>80</v>
      </c>
      <c r="H49" s="6"/>
      <c r="I49" s="6" t="s">
        <v>3589</v>
      </c>
      <c r="J49" s="6" t="s">
        <v>3590</v>
      </c>
      <c r="K49" s="6" t="s">
        <v>3591</v>
      </c>
      <c r="L49" s="23"/>
      <c r="M49" s="6" t="s">
        <v>33</v>
      </c>
      <c r="N49" s="6"/>
      <c r="O49" s="6"/>
      <c r="P49" s="24"/>
      <c r="Q49" s="6"/>
      <c r="R49" s="6"/>
      <c r="S49" s="6"/>
    </row>
    <row r="50" spans="1:19" x14ac:dyDescent="0.25">
      <c r="A50" s="22" t="s">
        <v>3592</v>
      </c>
      <c r="B50" s="6" t="s">
        <v>3558</v>
      </c>
      <c r="C50" s="6" t="s">
        <v>3593</v>
      </c>
      <c r="D50" s="6" t="s">
        <v>120</v>
      </c>
      <c r="E50" s="6" t="s">
        <v>113</v>
      </c>
      <c r="F50" s="6" t="s">
        <v>121</v>
      </c>
      <c r="G50" s="6" t="s">
        <v>80</v>
      </c>
      <c r="H50" s="6"/>
      <c r="I50" s="6" t="s">
        <v>3594</v>
      </c>
      <c r="J50" s="6" t="s">
        <v>3595</v>
      </c>
      <c r="K50" s="6" t="s">
        <v>3596</v>
      </c>
      <c r="L50" s="23"/>
      <c r="M50" s="6" t="s">
        <v>33</v>
      </c>
      <c r="N50" s="6"/>
      <c r="O50" s="6"/>
      <c r="P50" s="24"/>
      <c r="Q50" s="6"/>
      <c r="R50" s="6"/>
      <c r="S50" s="6"/>
    </row>
    <row r="51" spans="1:19" x14ac:dyDescent="0.25">
      <c r="A51" s="22" t="s">
        <v>3597</v>
      </c>
      <c r="B51" s="6" t="s">
        <v>3558</v>
      </c>
      <c r="C51" s="6" t="s">
        <v>3598</v>
      </c>
      <c r="D51" s="6" t="s">
        <v>120</v>
      </c>
      <c r="E51" s="6" t="s">
        <v>145</v>
      </c>
      <c r="F51" s="6" t="s">
        <v>105</v>
      </c>
      <c r="G51" s="6" t="s">
        <v>80</v>
      </c>
      <c r="H51" s="6"/>
      <c r="I51" s="6" t="s">
        <v>3599</v>
      </c>
      <c r="J51" s="6" t="s">
        <v>3600</v>
      </c>
      <c r="K51" s="6" t="s">
        <v>3601</v>
      </c>
      <c r="L51" s="23" t="s">
        <v>3602</v>
      </c>
      <c r="M51" s="6" t="s">
        <v>33</v>
      </c>
      <c r="N51" s="6"/>
      <c r="O51" s="6"/>
      <c r="P51" s="24"/>
      <c r="Q51" s="6"/>
      <c r="R51" s="6"/>
      <c r="S51" s="6"/>
    </row>
    <row r="52" spans="1:19" x14ac:dyDescent="0.25">
      <c r="A52" s="22" t="s">
        <v>3603</v>
      </c>
      <c r="B52" s="6" t="s">
        <v>3604</v>
      </c>
      <c r="C52" s="6" t="s">
        <v>3605</v>
      </c>
      <c r="D52" s="6" t="s">
        <v>103</v>
      </c>
      <c r="E52" s="6" t="s">
        <v>104</v>
      </c>
      <c r="F52" s="6" t="s">
        <v>121</v>
      </c>
      <c r="G52" s="6" t="s">
        <v>80</v>
      </c>
      <c r="H52" s="6"/>
      <c r="I52" s="6" t="s">
        <v>3606</v>
      </c>
      <c r="J52" s="6" t="s">
        <v>3607</v>
      </c>
      <c r="K52" s="6" t="s">
        <v>3608</v>
      </c>
      <c r="L52" s="23"/>
      <c r="M52" s="6" t="s">
        <v>33</v>
      </c>
      <c r="N52" s="6"/>
      <c r="O52" s="6"/>
      <c r="P52" s="24"/>
      <c r="Q52" s="6"/>
      <c r="R52" s="6"/>
      <c r="S52" s="6"/>
    </row>
    <row r="53" spans="1:19" x14ac:dyDescent="0.25">
      <c r="A53" s="22" t="s">
        <v>3609</v>
      </c>
      <c r="B53" s="6" t="s">
        <v>3604</v>
      </c>
      <c r="C53" s="6" t="s">
        <v>3610</v>
      </c>
      <c r="D53" s="6" t="s">
        <v>103</v>
      </c>
      <c r="E53" s="6" t="s">
        <v>113</v>
      </c>
      <c r="F53" s="6" t="s">
        <v>121</v>
      </c>
      <c r="G53" s="6" t="s">
        <v>80</v>
      </c>
      <c r="H53" s="6"/>
      <c r="I53" s="6" t="s">
        <v>3611</v>
      </c>
      <c r="J53" s="6" t="s">
        <v>3612</v>
      </c>
      <c r="K53" s="6" t="s">
        <v>3613</v>
      </c>
      <c r="L53" s="23"/>
      <c r="M53" s="6" t="s">
        <v>33</v>
      </c>
      <c r="N53" s="6"/>
      <c r="O53" s="6"/>
      <c r="P53" s="24"/>
      <c r="Q53" s="6"/>
      <c r="R53" s="6"/>
      <c r="S53" s="6"/>
    </row>
    <row r="54" spans="1:19" x14ac:dyDescent="0.25">
      <c r="A54" s="22" t="s">
        <v>3614</v>
      </c>
      <c r="B54" s="6" t="s">
        <v>3604</v>
      </c>
      <c r="C54" s="6" t="s">
        <v>3615</v>
      </c>
      <c r="D54" s="6" t="s">
        <v>103</v>
      </c>
      <c r="E54" s="6" t="s">
        <v>113</v>
      </c>
      <c r="F54" s="6" t="s">
        <v>127</v>
      </c>
      <c r="G54" s="6" t="s">
        <v>80</v>
      </c>
      <c r="H54" s="6"/>
      <c r="I54" s="6" t="s">
        <v>3616</v>
      </c>
      <c r="J54" s="6" t="s">
        <v>3617</v>
      </c>
      <c r="K54" s="6" t="s">
        <v>3618</v>
      </c>
      <c r="L54" s="23"/>
      <c r="M54" s="6" t="s">
        <v>33</v>
      </c>
      <c r="N54" s="6"/>
      <c r="O54" s="6"/>
      <c r="P54" s="24"/>
      <c r="Q54" s="6"/>
      <c r="R54" s="6"/>
      <c r="S54" s="6"/>
    </row>
    <row r="55" spans="1:19" x14ac:dyDescent="0.25">
      <c r="A55" s="22" t="s">
        <v>3619</v>
      </c>
      <c r="B55" s="6" t="s">
        <v>2206</v>
      </c>
      <c r="C55" s="6" t="s">
        <v>3620</v>
      </c>
      <c r="D55" s="6" t="s">
        <v>103</v>
      </c>
      <c r="E55" s="6" t="s">
        <v>104</v>
      </c>
      <c r="F55" s="6" t="s">
        <v>105</v>
      </c>
      <c r="G55" s="6" t="s">
        <v>80</v>
      </c>
      <c r="H55" s="6"/>
      <c r="I55" s="6" t="s">
        <v>3621</v>
      </c>
      <c r="J55" s="6" t="s">
        <v>3622</v>
      </c>
      <c r="K55" s="6" t="s">
        <v>3623</v>
      </c>
      <c r="L55" s="23"/>
      <c r="M55" s="6" t="s">
        <v>33</v>
      </c>
      <c r="N55" s="6"/>
      <c r="O55" s="6"/>
      <c r="P55" s="24"/>
      <c r="Q55" s="6"/>
      <c r="R55" s="6"/>
      <c r="S55" s="6"/>
    </row>
    <row r="56" spans="1:19" x14ac:dyDescent="0.25">
      <c r="A56" s="22" t="s">
        <v>3624</v>
      </c>
      <c r="B56" s="6" t="s">
        <v>2206</v>
      </c>
      <c r="C56" s="6" t="s">
        <v>3625</v>
      </c>
      <c r="D56" s="6" t="s">
        <v>103</v>
      </c>
      <c r="E56" s="6" t="s">
        <v>113</v>
      </c>
      <c r="F56" s="6" t="s">
        <v>105</v>
      </c>
      <c r="G56" s="6" t="s">
        <v>80</v>
      </c>
      <c r="H56" s="6"/>
      <c r="I56" s="6" t="s">
        <v>3626</v>
      </c>
      <c r="J56" s="6" t="s">
        <v>3627</v>
      </c>
      <c r="K56" s="6" t="s">
        <v>3628</v>
      </c>
      <c r="L56" s="23"/>
      <c r="M56" s="6" t="s">
        <v>33</v>
      </c>
      <c r="N56" s="6"/>
      <c r="O56" s="6"/>
      <c r="P56" s="24"/>
      <c r="Q56" s="6"/>
      <c r="R56" s="6"/>
      <c r="S56" s="6"/>
    </row>
    <row r="57" spans="1:19" x14ac:dyDescent="0.25">
      <c r="A57" s="22" t="s">
        <v>3629</v>
      </c>
      <c r="B57" s="6" t="s">
        <v>2206</v>
      </c>
      <c r="C57" s="6" t="s">
        <v>3630</v>
      </c>
      <c r="D57" s="6" t="s">
        <v>103</v>
      </c>
      <c r="E57" s="6" t="s">
        <v>104</v>
      </c>
      <c r="F57" s="6" t="s">
        <v>105</v>
      </c>
      <c r="G57" s="6" t="s">
        <v>80</v>
      </c>
      <c r="H57" s="6"/>
      <c r="I57" s="6" t="s">
        <v>3631</v>
      </c>
      <c r="J57" s="6" t="s">
        <v>3632</v>
      </c>
      <c r="K57" s="6" t="s">
        <v>3633</v>
      </c>
      <c r="L57" s="23"/>
      <c r="M57" s="6" t="s">
        <v>33</v>
      </c>
      <c r="N57" s="6"/>
      <c r="O57" s="6"/>
      <c r="P57" s="24"/>
      <c r="Q57" s="6"/>
      <c r="R57" s="6"/>
      <c r="S57" s="6"/>
    </row>
    <row r="58" spans="1:19" x14ac:dyDescent="0.25">
      <c r="A58" s="22" t="s">
        <v>3634</v>
      </c>
      <c r="B58" s="6" t="s">
        <v>2206</v>
      </c>
      <c r="C58" s="6" t="s">
        <v>3635</v>
      </c>
      <c r="D58" s="6" t="s">
        <v>103</v>
      </c>
      <c r="E58" s="6" t="s">
        <v>113</v>
      </c>
      <c r="F58" s="6" t="s">
        <v>105</v>
      </c>
      <c r="G58" s="6" t="s">
        <v>80</v>
      </c>
      <c r="H58" s="6"/>
      <c r="I58" s="6" t="s">
        <v>3636</v>
      </c>
      <c r="J58" s="6" t="s">
        <v>3637</v>
      </c>
      <c r="K58" s="6" t="s">
        <v>3638</v>
      </c>
      <c r="L58" s="23"/>
      <c r="M58" s="6" t="s">
        <v>33</v>
      </c>
      <c r="N58" s="6"/>
      <c r="O58" s="6"/>
      <c r="P58" s="24"/>
      <c r="Q58" s="6"/>
      <c r="R58" s="6"/>
      <c r="S58" s="6"/>
    </row>
    <row r="59" spans="1:19" x14ac:dyDescent="0.25">
      <c r="A59" s="22" t="s">
        <v>3639</v>
      </c>
      <c r="B59" s="6" t="s">
        <v>2206</v>
      </c>
      <c r="C59" s="6" t="s">
        <v>3640</v>
      </c>
      <c r="D59" s="6" t="s">
        <v>103</v>
      </c>
      <c r="E59" s="6" t="s">
        <v>104</v>
      </c>
      <c r="F59" s="6" t="s">
        <v>105</v>
      </c>
      <c r="G59" s="6" t="s">
        <v>80</v>
      </c>
      <c r="H59" s="6"/>
      <c r="I59" s="6" t="s">
        <v>3641</v>
      </c>
      <c r="J59" s="6" t="s">
        <v>3642</v>
      </c>
      <c r="K59" s="6" t="s">
        <v>3643</v>
      </c>
      <c r="L59" s="23"/>
      <c r="M59" s="6" t="s">
        <v>33</v>
      </c>
      <c r="N59" s="6"/>
      <c r="O59" s="6"/>
      <c r="P59" s="24"/>
      <c r="Q59" s="6"/>
      <c r="R59" s="6"/>
      <c r="S59" s="6"/>
    </row>
    <row r="60" spans="1:19" x14ac:dyDescent="0.25">
      <c r="A60" s="22" t="s">
        <v>3644</v>
      </c>
      <c r="B60" s="6" t="s">
        <v>2206</v>
      </c>
      <c r="C60" s="6" t="s">
        <v>3645</v>
      </c>
      <c r="D60" s="6" t="s">
        <v>103</v>
      </c>
      <c r="E60" s="6" t="s">
        <v>113</v>
      </c>
      <c r="F60" s="6" t="s">
        <v>121</v>
      </c>
      <c r="G60" s="6" t="s">
        <v>80</v>
      </c>
      <c r="H60" s="6"/>
      <c r="I60" s="6" t="s">
        <v>3646</v>
      </c>
      <c r="J60" s="6" t="s">
        <v>3647</v>
      </c>
      <c r="K60" s="6" t="s">
        <v>3648</v>
      </c>
      <c r="L60" s="23" t="s">
        <v>3649</v>
      </c>
      <c r="M60" s="6" t="s">
        <v>33</v>
      </c>
      <c r="N60" s="6"/>
      <c r="O60" s="6"/>
      <c r="P60" s="24"/>
      <c r="Q60" s="6"/>
      <c r="R60" s="6"/>
      <c r="S60" s="6"/>
    </row>
    <row r="61" spans="1:19" x14ac:dyDescent="0.25">
      <c r="A61" s="22" t="s">
        <v>3650</v>
      </c>
      <c r="B61" s="6" t="s">
        <v>2206</v>
      </c>
      <c r="C61" s="6" t="s">
        <v>3651</v>
      </c>
      <c r="D61" s="6" t="s">
        <v>120</v>
      </c>
      <c r="E61" s="6" t="s">
        <v>113</v>
      </c>
      <c r="F61" s="6" t="s">
        <v>121</v>
      </c>
      <c r="G61" s="6" t="s">
        <v>80</v>
      </c>
      <c r="H61" s="6"/>
      <c r="I61" s="6" t="s">
        <v>3652</v>
      </c>
      <c r="J61" s="6" t="s">
        <v>3653</v>
      </c>
      <c r="K61" s="6" t="s">
        <v>3654</v>
      </c>
      <c r="L61" s="23"/>
      <c r="M61" s="6" t="s">
        <v>33</v>
      </c>
      <c r="N61" s="6"/>
      <c r="O61" s="6"/>
      <c r="P61" s="24"/>
      <c r="Q61" s="6"/>
      <c r="R61" s="6"/>
      <c r="S61" s="6"/>
    </row>
    <row r="62" spans="1:19" x14ac:dyDescent="0.25">
      <c r="A62" s="22" t="s">
        <v>3655</v>
      </c>
      <c r="B62" s="6" t="s">
        <v>3656</v>
      </c>
      <c r="C62" s="6" t="s">
        <v>3657</v>
      </c>
      <c r="D62" s="6" t="s">
        <v>120</v>
      </c>
      <c r="E62" s="6" t="s">
        <v>104</v>
      </c>
      <c r="F62" s="6" t="s">
        <v>121</v>
      </c>
      <c r="G62" s="6" t="s">
        <v>80</v>
      </c>
      <c r="H62" s="6"/>
      <c r="I62" s="6" t="s">
        <v>3658</v>
      </c>
      <c r="J62" s="6" t="s">
        <v>3659</v>
      </c>
      <c r="K62" s="6" t="s">
        <v>3660</v>
      </c>
      <c r="L62" s="23"/>
      <c r="M62" s="6" t="s">
        <v>33</v>
      </c>
      <c r="N62" s="6"/>
      <c r="O62" s="6"/>
      <c r="P62" s="24"/>
      <c r="Q62" s="6"/>
      <c r="R62" s="6"/>
      <c r="S62" s="6"/>
    </row>
    <row r="63" spans="1:19" x14ac:dyDescent="0.25">
      <c r="A63" s="22" t="s">
        <v>3661</v>
      </c>
      <c r="B63" s="6" t="s">
        <v>3656</v>
      </c>
      <c r="C63" s="6" t="s">
        <v>3662</v>
      </c>
      <c r="D63" s="6" t="s">
        <v>120</v>
      </c>
      <c r="E63" s="6" t="s">
        <v>104</v>
      </c>
      <c r="F63" s="6" t="s">
        <v>105</v>
      </c>
      <c r="G63" s="6" t="s">
        <v>80</v>
      </c>
      <c r="H63" s="6"/>
      <c r="I63" s="6" t="s">
        <v>3404</v>
      </c>
      <c r="J63" s="6" t="s">
        <v>3663</v>
      </c>
      <c r="K63" s="6" t="s">
        <v>3664</v>
      </c>
      <c r="L63" s="23"/>
      <c r="M63" s="6" t="s">
        <v>33</v>
      </c>
      <c r="N63" s="6"/>
      <c r="O63" s="6"/>
      <c r="P63" s="24"/>
      <c r="Q63" s="6"/>
      <c r="R63" s="6"/>
      <c r="S63" s="6"/>
    </row>
    <row r="64" spans="1:19" x14ac:dyDescent="0.25">
      <c r="A64" s="22" t="s">
        <v>3665</v>
      </c>
      <c r="B64" s="6" t="s">
        <v>3656</v>
      </c>
      <c r="C64" s="6" t="s">
        <v>3666</v>
      </c>
      <c r="D64" s="6" t="s">
        <v>120</v>
      </c>
      <c r="E64" s="6" t="s">
        <v>104</v>
      </c>
      <c r="F64" s="6" t="s">
        <v>121</v>
      </c>
      <c r="G64" s="6" t="s">
        <v>80</v>
      </c>
      <c r="H64" s="6"/>
      <c r="I64" s="6" t="s">
        <v>3667</v>
      </c>
      <c r="J64" s="6" t="s">
        <v>3668</v>
      </c>
      <c r="K64" s="6" t="s">
        <v>3669</v>
      </c>
      <c r="L64" s="23"/>
      <c r="M64" s="6" t="s">
        <v>33</v>
      </c>
      <c r="N64" s="6"/>
      <c r="O64" s="6"/>
      <c r="P64" s="24"/>
      <c r="Q64" s="6"/>
      <c r="R64" s="6"/>
      <c r="S64" s="6"/>
    </row>
    <row r="65" spans="1:19" x14ac:dyDescent="0.25">
      <c r="A65" s="22" t="s">
        <v>3670</v>
      </c>
      <c r="B65" s="6" t="s">
        <v>3656</v>
      </c>
      <c r="C65" s="6" t="s">
        <v>3671</v>
      </c>
      <c r="D65" s="6" t="s">
        <v>120</v>
      </c>
      <c r="E65" s="6" t="s">
        <v>104</v>
      </c>
      <c r="F65" s="6" t="s">
        <v>105</v>
      </c>
      <c r="G65" s="6" t="s">
        <v>80</v>
      </c>
      <c r="H65" s="6"/>
      <c r="I65" s="6" t="s">
        <v>3672</v>
      </c>
      <c r="J65" s="6" t="s">
        <v>3673</v>
      </c>
      <c r="K65" s="6" t="s">
        <v>3674</v>
      </c>
      <c r="L65" s="23"/>
      <c r="M65" s="6" t="s">
        <v>33</v>
      </c>
      <c r="N65" s="6"/>
      <c r="O65" s="6"/>
      <c r="P65" s="24"/>
      <c r="Q65" s="6"/>
      <c r="R65" s="6"/>
      <c r="S65" s="6"/>
    </row>
    <row r="66" spans="1:19" x14ac:dyDescent="0.25">
      <c r="A66" s="22" t="s">
        <v>3675</v>
      </c>
      <c r="B66" s="6" t="s">
        <v>3656</v>
      </c>
      <c r="C66" s="6" t="s">
        <v>3676</v>
      </c>
      <c r="D66" s="6" t="s">
        <v>120</v>
      </c>
      <c r="E66" s="6" t="s">
        <v>113</v>
      </c>
      <c r="F66" s="6" t="s">
        <v>121</v>
      </c>
      <c r="G66" s="6" t="s">
        <v>80</v>
      </c>
      <c r="H66" s="6"/>
      <c r="I66" s="6" t="s">
        <v>3677</v>
      </c>
      <c r="J66" s="6" t="s">
        <v>3678</v>
      </c>
      <c r="K66" s="6" t="s">
        <v>3679</v>
      </c>
      <c r="L66" s="23" t="s">
        <v>3680</v>
      </c>
      <c r="M66" s="6" t="s">
        <v>33</v>
      </c>
      <c r="N66" s="6"/>
      <c r="O66" s="6"/>
      <c r="P66" s="24"/>
      <c r="Q66" s="6"/>
      <c r="R66" s="6"/>
      <c r="S66" s="6"/>
    </row>
    <row r="67" spans="1:19" x14ac:dyDescent="0.25">
      <c r="A67" s="22" t="s">
        <v>3681</v>
      </c>
      <c r="B67" s="6" t="s">
        <v>3656</v>
      </c>
      <c r="C67" s="6" t="s">
        <v>3682</v>
      </c>
      <c r="D67" s="6" t="s">
        <v>120</v>
      </c>
      <c r="E67" s="6" t="s">
        <v>113</v>
      </c>
      <c r="F67" s="6" t="s">
        <v>121</v>
      </c>
      <c r="G67" s="6" t="s">
        <v>80</v>
      </c>
      <c r="H67" s="6"/>
      <c r="I67" s="6" t="s">
        <v>3652</v>
      </c>
      <c r="J67" s="6" t="s">
        <v>3683</v>
      </c>
      <c r="K67" s="6" t="s">
        <v>3684</v>
      </c>
      <c r="L67" s="23"/>
      <c r="M67" s="6" t="s">
        <v>33</v>
      </c>
      <c r="N67" s="6"/>
      <c r="O67" s="6"/>
      <c r="P67" s="24"/>
      <c r="Q67" s="6"/>
      <c r="R67" s="6"/>
      <c r="S67" s="6"/>
    </row>
    <row r="68" spans="1:19" x14ac:dyDescent="0.25">
      <c r="A68" s="22" t="s">
        <v>3685</v>
      </c>
      <c r="B68" s="6" t="s">
        <v>3656</v>
      </c>
      <c r="C68" s="6" t="s">
        <v>3686</v>
      </c>
      <c r="D68" s="6" t="s">
        <v>120</v>
      </c>
      <c r="E68" s="6" t="s">
        <v>113</v>
      </c>
      <c r="F68" s="6" t="s">
        <v>105</v>
      </c>
      <c r="G68" s="6" t="s">
        <v>80</v>
      </c>
      <c r="H68" s="6"/>
      <c r="I68" s="6" t="s">
        <v>3428</v>
      </c>
      <c r="J68" s="6" t="s">
        <v>3687</v>
      </c>
      <c r="K68" s="6" t="s">
        <v>3688</v>
      </c>
      <c r="L68" s="23"/>
      <c r="M68" s="6" t="s">
        <v>33</v>
      </c>
      <c r="N68" s="6"/>
      <c r="O68" s="6"/>
      <c r="P68" s="24"/>
      <c r="Q68" s="6"/>
      <c r="R68" s="6"/>
      <c r="S68" s="6"/>
    </row>
    <row r="69" spans="1:19" x14ac:dyDescent="0.25">
      <c r="A69" s="22" t="s">
        <v>3689</v>
      </c>
      <c r="B69" s="6" t="s">
        <v>3656</v>
      </c>
      <c r="C69" s="6" t="s">
        <v>3690</v>
      </c>
      <c r="D69" s="6" t="s">
        <v>120</v>
      </c>
      <c r="E69" s="6" t="s">
        <v>113</v>
      </c>
      <c r="F69" s="6" t="s">
        <v>121</v>
      </c>
      <c r="G69" s="6" t="s">
        <v>80</v>
      </c>
      <c r="H69" s="6"/>
      <c r="I69" s="6" t="s">
        <v>3594</v>
      </c>
      <c r="J69" s="6" t="s">
        <v>3691</v>
      </c>
      <c r="K69" s="6" t="s">
        <v>3692</v>
      </c>
      <c r="L69" s="23"/>
      <c r="M69" s="6" t="s">
        <v>33</v>
      </c>
      <c r="N69" s="6"/>
      <c r="O69" s="6"/>
      <c r="P69" s="24"/>
      <c r="Q69" s="6"/>
      <c r="R69" s="6"/>
      <c r="S69" s="6"/>
    </row>
    <row r="70" spans="1:19" x14ac:dyDescent="0.25">
      <c r="A70" s="22" t="s">
        <v>3693</v>
      </c>
      <c r="B70" s="6" t="s">
        <v>3694</v>
      </c>
      <c r="C70" s="6" t="s">
        <v>3695</v>
      </c>
      <c r="D70" s="6" t="s">
        <v>120</v>
      </c>
      <c r="E70" s="6" t="s">
        <v>104</v>
      </c>
      <c r="F70" s="6" t="s">
        <v>121</v>
      </c>
      <c r="G70" s="6" t="s">
        <v>80</v>
      </c>
      <c r="H70" s="6"/>
      <c r="I70" s="6" t="s">
        <v>3696</v>
      </c>
      <c r="J70" s="6" t="s">
        <v>3697</v>
      </c>
      <c r="K70" s="6" t="s">
        <v>3698</v>
      </c>
      <c r="L70" s="23"/>
      <c r="M70" s="6" t="s">
        <v>33</v>
      </c>
      <c r="N70" s="6"/>
      <c r="O70" s="6"/>
      <c r="P70" s="24"/>
      <c r="Q70" s="6"/>
      <c r="R70" s="6"/>
      <c r="S70" s="6"/>
    </row>
    <row r="71" spans="1:19" x14ac:dyDescent="0.25">
      <c r="A71" s="22" t="s">
        <v>3699</v>
      </c>
      <c r="B71" s="6" t="s">
        <v>3694</v>
      </c>
      <c r="C71" s="6" t="s">
        <v>3700</v>
      </c>
      <c r="D71" s="6" t="s">
        <v>112</v>
      </c>
      <c r="E71" s="6" t="s">
        <v>113</v>
      </c>
      <c r="F71" s="6" t="s">
        <v>121</v>
      </c>
      <c r="G71" s="6" t="s">
        <v>80</v>
      </c>
      <c r="H71" s="6"/>
      <c r="I71" s="6" t="s">
        <v>3701</v>
      </c>
      <c r="J71" s="6" t="s">
        <v>3702</v>
      </c>
      <c r="K71" s="6" t="s">
        <v>3703</v>
      </c>
      <c r="L71" s="23" t="s">
        <v>3704</v>
      </c>
      <c r="M71" s="6" t="s">
        <v>33</v>
      </c>
      <c r="N71" s="6"/>
      <c r="O71" s="6"/>
      <c r="P71" s="24"/>
      <c r="Q71" s="6"/>
      <c r="R71" s="6"/>
      <c r="S71" s="6"/>
    </row>
    <row r="72" spans="1:19" x14ac:dyDescent="0.25">
      <c r="A72" s="22" t="s">
        <v>3705</v>
      </c>
      <c r="B72" s="6" t="s">
        <v>3694</v>
      </c>
      <c r="C72" s="6" t="s">
        <v>3706</v>
      </c>
      <c r="D72" s="6" t="s">
        <v>112</v>
      </c>
      <c r="E72" s="6" t="s">
        <v>104</v>
      </c>
      <c r="F72" s="6" t="s">
        <v>121</v>
      </c>
      <c r="G72" s="6" t="s">
        <v>80</v>
      </c>
      <c r="H72" s="6"/>
      <c r="I72" s="6" t="s">
        <v>3652</v>
      </c>
      <c r="J72" s="6" t="s">
        <v>3707</v>
      </c>
      <c r="K72" s="6" t="s">
        <v>3708</v>
      </c>
      <c r="L72" s="23"/>
      <c r="M72" s="6" t="s">
        <v>33</v>
      </c>
      <c r="N72" s="6"/>
      <c r="O72" s="6"/>
      <c r="P72" s="24"/>
      <c r="Q72" s="6"/>
      <c r="R72" s="6"/>
      <c r="S72" s="6"/>
    </row>
    <row r="73" spans="1:19" x14ac:dyDescent="0.25">
      <c r="A73" s="22" t="s">
        <v>3709</v>
      </c>
      <c r="B73" s="6" t="s">
        <v>3694</v>
      </c>
      <c r="C73" s="6" t="s">
        <v>3710</v>
      </c>
      <c r="D73" s="6" t="s">
        <v>112</v>
      </c>
      <c r="E73" s="6" t="s">
        <v>104</v>
      </c>
      <c r="F73" s="6" t="s">
        <v>121</v>
      </c>
      <c r="G73" s="6" t="s">
        <v>80</v>
      </c>
      <c r="H73" s="6"/>
      <c r="I73" s="6" t="s">
        <v>3711</v>
      </c>
      <c r="J73" s="6" t="s">
        <v>3712</v>
      </c>
      <c r="K73" s="6" t="s">
        <v>3713</v>
      </c>
      <c r="L73" s="23"/>
      <c r="M73" s="6" t="s">
        <v>33</v>
      </c>
      <c r="N73" s="6"/>
      <c r="O73" s="6"/>
      <c r="P73" s="24"/>
      <c r="Q73" s="6"/>
      <c r="R73" s="6"/>
      <c r="S73" s="6"/>
    </row>
    <row r="74" spans="1:19" x14ac:dyDescent="0.25">
      <c r="A74" s="22" t="s">
        <v>3714</v>
      </c>
      <c r="B74" s="6" t="s">
        <v>3694</v>
      </c>
      <c r="C74" s="6" t="s">
        <v>3715</v>
      </c>
      <c r="D74" s="6" t="s">
        <v>112</v>
      </c>
      <c r="E74" s="6" t="s">
        <v>145</v>
      </c>
      <c r="F74" s="6" t="s">
        <v>121</v>
      </c>
      <c r="G74" s="6" t="s">
        <v>80</v>
      </c>
      <c r="H74" s="6"/>
      <c r="I74" s="6" t="s">
        <v>3652</v>
      </c>
      <c r="J74" s="6" t="s">
        <v>3716</v>
      </c>
      <c r="K74" s="6" t="s">
        <v>3717</v>
      </c>
      <c r="L74" s="23" t="s">
        <v>3718</v>
      </c>
      <c r="M74" s="6" t="s">
        <v>33</v>
      </c>
      <c r="N74" s="6"/>
      <c r="O74" s="6"/>
      <c r="P74" s="24"/>
      <c r="Q74" s="6"/>
      <c r="R74" s="6"/>
      <c r="S74" s="6"/>
    </row>
    <row r="75" spans="1:19" x14ac:dyDescent="0.25">
      <c r="A75" s="22" t="s">
        <v>3719</v>
      </c>
      <c r="B75" s="6" t="s">
        <v>3694</v>
      </c>
      <c r="C75" s="6" t="s">
        <v>3720</v>
      </c>
      <c r="D75" s="6" t="s">
        <v>120</v>
      </c>
      <c r="E75" s="6" t="s">
        <v>113</v>
      </c>
      <c r="F75" s="6" t="s">
        <v>105</v>
      </c>
      <c r="G75" s="6" t="s">
        <v>80</v>
      </c>
      <c r="H75" s="6"/>
      <c r="I75" s="6" t="s">
        <v>3404</v>
      </c>
      <c r="J75" s="6" t="s">
        <v>3721</v>
      </c>
      <c r="K75" s="6" t="s">
        <v>3722</v>
      </c>
      <c r="L75" s="23"/>
      <c r="M75" s="6" t="s">
        <v>33</v>
      </c>
      <c r="N75" s="6"/>
      <c r="O75" s="6"/>
      <c r="P75" s="24"/>
      <c r="Q75" s="6"/>
      <c r="R75" s="6"/>
      <c r="S75" s="6"/>
    </row>
    <row r="76" spans="1:19" x14ac:dyDescent="0.25">
      <c r="A76" s="22" t="s">
        <v>3723</v>
      </c>
      <c r="B76" s="6" t="s">
        <v>3694</v>
      </c>
      <c r="C76" s="6" t="s">
        <v>3724</v>
      </c>
      <c r="D76" s="6" t="s">
        <v>112</v>
      </c>
      <c r="E76" s="6" t="s">
        <v>104</v>
      </c>
      <c r="F76" s="6" t="s">
        <v>121</v>
      </c>
      <c r="G76" s="6" t="s">
        <v>80</v>
      </c>
      <c r="H76" s="6"/>
      <c r="I76" s="6" t="s">
        <v>3725</v>
      </c>
      <c r="J76" s="6" t="s">
        <v>3726</v>
      </c>
      <c r="K76" s="6" t="s">
        <v>3727</v>
      </c>
      <c r="L76" s="23"/>
      <c r="M76" s="6" t="s">
        <v>33</v>
      </c>
      <c r="N76" s="6"/>
      <c r="O76" s="6"/>
      <c r="P76" s="24"/>
      <c r="Q76" s="6"/>
      <c r="R76" s="6"/>
      <c r="S76" s="6"/>
    </row>
    <row r="77" spans="1:19" x14ac:dyDescent="0.25">
      <c r="A77" s="22" t="s">
        <v>3728</v>
      </c>
      <c r="B77" s="6" t="s">
        <v>3729</v>
      </c>
      <c r="C77" s="6" t="s">
        <v>3730</v>
      </c>
      <c r="D77" s="6" t="s">
        <v>140</v>
      </c>
      <c r="E77" s="6" t="s">
        <v>104</v>
      </c>
      <c r="F77" s="6" t="s">
        <v>121</v>
      </c>
      <c r="G77" s="6" t="s">
        <v>80</v>
      </c>
      <c r="H77" s="6"/>
      <c r="I77" s="6" t="s">
        <v>3731</v>
      </c>
      <c r="J77" s="6" t="s">
        <v>3732</v>
      </c>
      <c r="K77" s="6" t="s">
        <v>3733</v>
      </c>
      <c r="L77" s="23" t="s">
        <v>3734</v>
      </c>
      <c r="M77" s="6" t="s">
        <v>33</v>
      </c>
      <c r="N77" s="6"/>
      <c r="O77" s="6"/>
      <c r="P77" s="24"/>
      <c r="Q77" s="6"/>
      <c r="R77" s="6"/>
      <c r="S77" s="6"/>
    </row>
    <row r="78" spans="1:19" x14ac:dyDescent="0.25">
      <c r="A78" s="22" t="s">
        <v>3735</v>
      </c>
      <c r="B78" s="6" t="s">
        <v>3729</v>
      </c>
      <c r="C78" s="6" t="s">
        <v>3736</v>
      </c>
      <c r="D78" s="6" t="s">
        <v>209</v>
      </c>
      <c r="E78" s="6" t="s">
        <v>104</v>
      </c>
      <c r="F78" s="6" t="s">
        <v>105</v>
      </c>
      <c r="G78" s="6" t="s">
        <v>80</v>
      </c>
      <c r="H78" s="6"/>
      <c r="I78" s="6" t="s">
        <v>3737</v>
      </c>
      <c r="J78" s="6" t="s">
        <v>3738</v>
      </c>
      <c r="K78" s="6" t="s">
        <v>3739</v>
      </c>
      <c r="L78" s="23" t="s">
        <v>3740</v>
      </c>
      <c r="M78" s="6" t="s">
        <v>33</v>
      </c>
      <c r="N78" s="6"/>
      <c r="O78" s="6"/>
      <c r="P78" s="24"/>
      <c r="Q78" s="6"/>
      <c r="R78" s="6"/>
      <c r="S78" s="6"/>
    </row>
    <row r="79" spans="1:19" x14ac:dyDescent="0.25">
      <c r="A79" s="22" t="s">
        <v>3741</v>
      </c>
      <c r="B79" s="6" t="s">
        <v>3729</v>
      </c>
      <c r="C79" s="6" t="s">
        <v>3742</v>
      </c>
      <c r="D79" s="6" t="s">
        <v>209</v>
      </c>
      <c r="E79" s="6" t="s">
        <v>104</v>
      </c>
      <c r="F79" s="6" t="s">
        <v>121</v>
      </c>
      <c r="G79" s="6" t="s">
        <v>80</v>
      </c>
      <c r="H79" s="6"/>
      <c r="I79" s="6" t="s">
        <v>3743</v>
      </c>
      <c r="J79" s="6" t="s">
        <v>3744</v>
      </c>
      <c r="K79" s="6" t="s">
        <v>3745</v>
      </c>
      <c r="L79" s="23"/>
      <c r="M79" s="6" t="s">
        <v>33</v>
      </c>
      <c r="N79" s="6"/>
      <c r="O79" s="6"/>
      <c r="P79" s="24"/>
      <c r="Q79" s="6"/>
      <c r="R79" s="6"/>
      <c r="S79" s="6"/>
    </row>
    <row r="80" spans="1:19" x14ac:dyDescent="0.25">
      <c r="A80" s="22" t="s">
        <v>3746</v>
      </c>
      <c r="B80" s="6" t="s">
        <v>3729</v>
      </c>
      <c r="C80" s="6" t="s">
        <v>3747</v>
      </c>
      <c r="D80" s="6" t="s">
        <v>112</v>
      </c>
      <c r="E80" s="6" t="s">
        <v>104</v>
      </c>
      <c r="F80" s="6" t="s">
        <v>105</v>
      </c>
      <c r="G80" s="6" t="s">
        <v>80</v>
      </c>
      <c r="H80" s="6"/>
      <c r="I80" s="6" t="s">
        <v>3404</v>
      </c>
      <c r="J80" s="6" t="s">
        <v>3748</v>
      </c>
      <c r="K80" s="6" t="s">
        <v>3749</v>
      </c>
      <c r="L80" s="23"/>
      <c r="M80" s="6" t="s">
        <v>33</v>
      </c>
      <c r="N80" s="6"/>
      <c r="O80" s="6"/>
      <c r="P80" s="24"/>
      <c r="Q80" s="6"/>
      <c r="R80" s="6"/>
      <c r="S80" s="6"/>
    </row>
    <row r="81" spans="1:19" x14ac:dyDescent="0.25">
      <c r="A81" s="22" t="s">
        <v>3750</v>
      </c>
      <c r="B81" s="6" t="s">
        <v>3729</v>
      </c>
      <c r="C81" s="6" t="s">
        <v>3751</v>
      </c>
      <c r="D81" s="6" t="s">
        <v>112</v>
      </c>
      <c r="E81" s="6" t="s">
        <v>104</v>
      </c>
      <c r="F81" s="6" t="s">
        <v>105</v>
      </c>
      <c r="G81" s="6" t="s">
        <v>80</v>
      </c>
      <c r="H81" s="6"/>
      <c r="I81" s="6" t="s">
        <v>3752</v>
      </c>
      <c r="J81" s="6" t="s">
        <v>3753</v>
      </c>
      <c r="K81" s="6" t="s">
        <v>3754</v>
      </c>
      <c r="L81" s="23"/>
      <c r="M81" s="6" t="s">
        <v>33</v>
      </c>
      <c r="N81" s="6"/>
      <c r="O81" s="6"/>
      <c r="P81" s="24"/>
      <c r="Q81" s="6"/>
      <c r="R81" s="6"/>
      <c r="S81" s="6"/>
    </row>
    <row r="82" spans="1:19" x14ac:dyDescent="0.25">
      <c r="A82" s="22" t="s">
        <v>3755</v>
      </c>
      <c r="B82" s="6" t="s">
        <v>3729</v>
      </c>
      <c r="C82" s="6" t="s">
        <v>3756</v>
      </c>
      <c r="D82" s="6" t="s">
        <v>112</v>
      </c>
      <c r="E82" s="6" t="s">
        <v>104</v>
      </c>
      <c r="F82" s="6" t="s">
        <v>105</v>
      </c>
      <c r="G82" s="6" t="s">
        <v>80</v>
      </c>
      <c r="H82" s="6"/>
      <c r="I82" s="6" t="s">
        <v>3757</v>
      </c>
      <c r="J82" s="6" t="s">
        <v>3758</v>
      </c>
      <c r="K82" s="6" t="s">
        <v>3759</v>
      </c>
      <c r="L82" s="23"/>
      <c r="M82" s="6" t="s">
        <v>33</v>
      </c>
      <c r="N82" s="6"/>
      <c r="O82" s="6"/>
      <c r="P82" s="24"/>
      <c r="Q82" s="6"/>
      <c r="R82" s="6"/>
      <c r="S82" s="6"/>
    </row>
    <row r="83" spans="1:19" x14ac:dyDescent="0.25">
      <c r="A83" s="22" t="s">
        <v>3760</v>
      </c>
      <c r="B83" s="6" t="s">
        <v>3729</v>
      </c>
      <c r="C83" s="6" t="s">
        <v>3761</v>
      </c>
      <c r="D83" s="6" t="s">
        <v>112</v>
      </c>
      <c r="E83" s="6" t="s">
        <v>104</v>
      </c>
      <c r="F83" s="6" t="s">
        <v>105</v>
      </c>
      <c r="G83" s="6" t="s">
        <v>80</v>
      </c>
      <c r="H83" s="6"/>
      <c r="I83" s="6" t="s">
        <v>3762</v>
      </c>
      <c r="J83" s="6" t="s">
        <v>3763</v>
      </c>
      <c r="K83" s="6" t="s">
        <v>3764</v>
      </c>
      <c r="L83" s="23"/>
      <c r="M83" s="6" t="s">
        <v>33</v>
      </c>
      <c r="N83" s="6"/>
      <c r="O83" s="6"/>
      <c r="P83" s="24"/>
      <c r="Q83" s="6"/>
      <c r="R83" s="6"/>
      <c r="S83" s="6"/>
    </row>
    <row r="84" spans="1:19" x14ac:dyDescent="0.25">
      <c r="A84" s="22" t="s">
        <v>3765</v>
      </c>
      <c r="B84" s="6" t="s">
        <v>3766</v>
      </c>
      <c r="C84" s="6" t="s">
        <v>3767</v>
      </c>
      <c r="D84" s="6" t="s">
        <v>103</v>
      </c>
      <c r="E84" s="6" t="s">
        <v>113</v>
      </c>
      <c r="F84" s="6" t="s">
        <v>105</v>
      </c>
      <c r="G84" s="6" t="s">
        <v>80</v>
      </c>
      <c r="H84" s="6"/>
      <c r="I84" s="6" t="s">
        <v>3768</v>
      </c>
      <c r="J84" s="6" t="s">
        <v>3769</v>
      </c>
      <c r="K84" s="6" t="s">
        <v>3770</v>
      </c>
      <c r="L84" s="23"/>
      <c r="M84" s="6" t="s">
        <v>33</v>
      </c>
      <c r="N84" s="6"/>
      <c r="O84" s="6"/>
      <c r="P84" s="24"/>
      <c r="Q84" s="6"/>
      <c r="R84" s="6"/>
      <c r="S84" s="6"/>
    </row>
    <row r="85" spans="1:19" x14ac:dyDescent="0.25">
      <c r="A85" s="22" t="s">
        <v>3771</v>
      </c>
      <c r="B85" s="6" t="s">
        <v>3766</v>
      </c>
      <c r="C85" s="6" t="s">
        <v>3772</v>
      </c>
      <c r="D85" s="6" t="s">
        <v>112</v>
      </c>
      <c r="E85" s="6" t="s">
        <v>104</v>
      </c>
      <c r="F85" s="6" t="s">
        <v>105</v>
      </c>
      <c r="G85" s="6" t="s">
        <v>80</v>
      </c>
      <c r="H85" s="6"/>
      <c r="I85" s="6" t="s">
        <v>3773</v>
      </c>
      <c r="J85" s="6" t="s">
        <v>3774</v>
      </c>
      <c r="K85" s="6" t="s">
        <v>3775</v>
      </c>
      <c r="L85" s="23"/>
      <c r="M85" s="6" t="s">
        <v>33</v>
      </c>
      <c r="N85" s="6"/>
      <c r="O85" s="6"/>
      <c r="P85" s="24"/>
      <c r="Q85" s="6"/>
      <c r="R85" s="6"/>
      <c r="S85" s="6"/>
    </row>
    <row r="86" spans="1:19" x14ac:dyDescent="0.25">
      <c r="A86" s="22" t="s">
        <v>3776</v>
      </c>
      <c r="B86" s="6" t="s">
        <v>3766</v>
      </c>
      <c r="C86" s="6" t="s">
        <v>3777</v>
      </c>
      <c r="D86" s="6" t="s">
        <v>103</v>
      </c>
      <c r="E86" s="6" t="s">
        <v>113</v>
      </c>
      <c r="F86" s="6" t="s">
        <v>105</v>
      </c>
      <c r="G86" s="6" t="s">
        <v>80</v>
      </c>
      <c r="H86" s="6"/>
      <c r="I86" s="6" t="s">
        <v>3778</v>
      </c>
      <c r="J86" s="6" t="s">
        <v>3779</v>
      </c>
      <c r="K86" s="6" t="s">
        <v>3780</v>
      </c>
      <c r="L86" s="23"/>
      <c r="M86" s="6" t="s">
        <v>33</v>
      </c>
      <c r="N86" s="6"/>
      <c r="O86" s="6"/>
      <c r="P86" s="24"/>
      <c r="Q86" s="6"/>
      <c r="R86" s="6"/>
      <c r="S86" s="6"/>
    </row>
    <row r="87" spans="1:19" x14ac:dyDescent="0.25">
      <c r="A87" s="22" t="s">
        <v>3781</v>
      </c>
      <c r="B87" s="6" t="s">
        <v>3766</v>
      </c>
      <c r="C87" s="6" t="s">
        <v>3782</v>
      </c>
      <c r="D87" s="6" t="s">
        <v>103</v>
      </c>
      <c r="E87" s="6" t="s">
        <v>104</v>
      </c>
      <c r="F87" s="6" t="s">
        <v>105</v>
      </c>
      <c r="G87" s="6" t="s">
        <v>80</v>
      </c>
      <c r="H87" s="6"/>
      <c r="I87" s="6" t="s">
        <v>3783</v>
      </c>
      <c r="J87" s="6" t="s">
        <v>3784</v>
      </c>
      <c r="K87" s="6" t="s">
        <v>3785</v>
      </c>
      <c r="L87" s="23"/>
      <c r="M87" s="6" t="s">
        <v>33</v>
      </c>
      <c r="N87" s="6"/>
      <c r="O87" s="6"/>
      <c r="P87" s="24"/>
      <c r="Q87" s="6"/>
      <c r="R87" s="6"/>
      <c r="S87" s="6"/>
    </row>
    <row r="88" spans="1:19" x14ac:dyDescent="0.25">
      <c r="A88" s="22" t="s">
        <v>3786</v>
      </c>
      <c r="B88" s="6" t="s">
        <v>3766</v>
      </c>
      <c r="C88" s="6" t="s">
        <v>3787</v>
      </c>
      <c r="D88" s="6" t="s">
        <v>103</v>
      </c>
      <c r="E88" s="6" t="s">
        <v>104</v>
      </c>
      <c r="F88" s="6" t="s">
        <v>105</v>
      </c>
      <c r="G88" s="6" t="s">
        <v>80</v>
      </c>
      <c r="H88" s="6"/>
      <c r="I88" s="6" t="s">
        <v>3788</v>
      </c>
      <c r="J88" s="6" t="s">
        <v>3789</v>
      </c>
      <c r="K88" s="6" t="s">
        <v>3790</v>
      </c>
      <c r="L88" s="23"/>
      <c r="M88" s="6" t="s">
        <v>33</v>
      </c>
      <c r="N88" s="6"/>
      <c r="O88" s="6"/>
      <c r="P88" s="24"/>
      <c r="Q88" s="6"/>
      <c r="R88" s="6"/>
      <c r="S88" s="6"/>
    </row>
    <row r="89" spans="1:19" x14ac:dyDescent="0.25">
      <c r="A89" s="22" t="s">
        <v>3791</v>
      </c>
      <c r="B89" s="6" t="s">
        <v>3766</v>
      </c>
      <c r="C89" s="6" t="s">
        <v>3792</v>
      </c>
      <c r="D89" s="6" t="s">
        <v>140</v>
      </c>
      <c r="E89" s="6" t="s">
        <v>104</v>
      </c>
      <c r="F89" s="6" t="s">
        <v>105</v>
      </c>
      <c r="G89" s="6" t="s">
        <v>80</v>
      </c>
      <c r="H89" s="6"/>
      <c r="I89" s="6" t="s">
        <v>3793</v>
      </c>
      <c r="J89" s="6" t="s">
        <v>3794</v>
      </c>
      <c r="K89" s="6" t="s">
        <v>3795</v>
      </c>
      <c r="L89" s="23"/>
      <c r="M89" s="6" t="s">
        <v>33</v>
      </c>
      <c r="N89" s="6"/>
      <c r="O89" s="6"/>
      <c r="P89" s="24"/>
      <c r="Q89" s="6"/>
      <c r="R89" s="6"/>
      <c r="S89" s="6"/>
    </row>
    <row r="90" spans="1:19" x14ac:dyDescent="0.25">
      <c r="A90" s="22" t="s">
        <v>3796</v>
      </c>
      <c r="B90" s="6" t="s">
        <v>3766</v>
      </c>
      <c r="C90" s="6" t="s">
        <v>3797</v>
      </c>
      <c r="D90" s="6" t="s">
        <v>112</v>
      </c>
      <c r="E90" s="6" t="s">
        <v>113</v>
      </c>
      <c r="F90" s="6" t="s">
        <v>105</v>
      </c>
      <c r="G90" s="6" t="s">
        <v>80</v>
      </c>
      <c r="H90" s="6"/>
      <c r="I90" s="6" t="s">
        <v>3798</v>
      </c>
      <c r="J90" s="6" t="s">
        <v>3799</v>
      </c>
      <c r="K90" s="6" t="s">
        <v>3800</v>
      </c>
      <c r="L90" s="23"/>
      <c r="M90" s="6" t="s">
        <v>33</v>
      </c>
      <c r="N90" s="6"/>
      <c r="O90" s="6"/>
      <c r="P90" s="24"/>
      <c r="Q90" s="6"/>
      <c r="R90" s="6"/>
      <c r="S90" s="6"/>
    </row>
    <row r="91" spans="1:19" x14ac:dyDescent="0.25">
      <c r="A91" s="22" t="s">
        <v>3801</v>
      </c>
      <c r="B91" s="6" t="s">
        <v>3766</v>
      </c>
      <c r="C91" s="6" t="s">
        <v>3802</v>
      </c>
      <c r="D91" s="6" t="s">
        <v>112</v>
      </c>
      <c r="E91" s="6" t="s">
        <v>104</v>
      </c>
      <c r="F91" s="6" t="s">
        <v>105</v>
      </c>
      <c r="G91" s="6" t="s">
        <v>80</v>
      </c>
      <c r="H91" s="6"/>
      <c r="I91" s="6" t="s">
        <v>3803</v>
      </c>
      <c r="J91" s="6" t="s">
        <v>3804</v>
      </c>
      <c r="K91" s="6" t="s">
        <v>3805</v>
      </c>
      <c r="L91" s="23"/>
      <c r="M91" s="6" t="s">
        <v>33</v>
      </c>
      <c r="N91" s="6"/>
      <c r="O91" s="6"/>
      <c r="P91" s="24"/>
      <c r="Q91" s="6"/>
      <c r="R91" s="6"/>
      <c r="S91" s="6"/>
    </row>
    <row r="92" spans="1:19" x14ac:dyDescent="0.25">
      <c r="A92" s="22" t="s">
        <v>3806</v>
      </c>
      <c r="B92" s="6" t="s">
        <v>3807</v>
      </c>
      <c r="C92" s="6" t="s">
        <v>3808</v>
      </c>
      <c r="D92" s="6" t="s">
        <v>103</v>
      </c>
      <c r="E92" s="6" t="s">
        <v>113</v>
      </c>
      <c r="F92" s="6" t="s">
        <v>105</v>
      </c>
      <c r="G92" s="6" t="s">
        <v>80</v>
      </c>
      <c r="H92" s="6"/>
      <c r="I92" s="6" t="s">
        <v>3809</v>
      </c>
      <c r="J92" s="6" t="s">
        <v>3810</v>
      </c>
      <c r="K92" s="6" t="s">
        <v>3811</v>
      </c>
      <c r="L92" s="23"/>
      <c r="M92" s="6" t="s">
        <v>33</v>
      </c>
      <c r="N92" s="6"/>
      <c r="O92" s="6"/>
      <c r="P92" s="24"/>
      <c r="Q92" s="6"/>
      <c r="R92" s="6"/>
      <c r="S92" s="6"/>
    </row>
    <row r="93" spans="1:19" x14ac:dyDescent="0.25">
      <c r="A93" s="22" t="s">
        <v>3812</v>
      </c>
      <c r="B93" s="6" t="s">
        <v>3807</v>
      </c>
      <c r="C93" s="6" t="s">
        <v>3813</v>
      </c>
      <c r="D93" s="6" t="s">
        <v>103</v>
      </c>
      <c r="E93" s="6" t="s">
        <v>113</v>
      </c>
      <c r="F93" s="6" t="s">
        <v>105</v>
      </c>
      <c r="G93" s="6" t="s">
        <v>79</v>
      </c>
      <c r="H93" s="6"/>
      <c r="I93" s="6" t="s">
        <v>3814</v>
      </c>
      <c r="J93" s="6" t="s">
        <v>3815</v>
      </c>
      <c r="K93" s="6" t="s">
        <v>3816</v>
      </c>
      <c r="L93" s="23"/>
      <c r="M93" s="6" t="s">
        <v>33</v>
      </c>
      <c r="N93" s="6"/>
      <c r="O93" s="6"/>
      <c r="P93" s="24"/>
      <c r="Q93" s="6"/>
      <c r="R93" s="6"/>
      <c r="S93" s="6"/>
    </row>
    <row r="94" spans="1:19" x14ac:dyDescent="0.25">
      <c r="A94" s="22" t="s">
        <v>3817</v>
      </c>
      <c r="B94" s="6" t="s">
        <v>3807</v>
      </c>
      <c r="C94" s="6" t="s">
        <v>3818</v>
      </c>
      <c r="D94" s="6" t="s">
        <v>140</v>
      </c>
      <c r="E94" s="6" t="s">
        <v>104</v>
      </c>
      <c r="F94" s="6" t="s">
        <v>105</v>
      </c>
      <c r="G94" s="6" t="s">
        <v>80</v>
      </c>
      <c r="H94" s="6"/>
      <c r="I94" s="6" t="s">
        <v>3819</v>
      </c>
      <c r="J94" s="6" t="s">
        <v>3820</v>
      </c>
      <c r="K94" s="6" t="s">
        <v>3821</v>
      </c>
      <c r="L94" s="23"/>
      <c r="M94" s="6" t="s">
        <v>33</v>
      </c>
      <c r="N94" s="6"/>
      <c r="O94" s="6"/>
      <c r="P94" s="24"/>
      <c r="Q94" s="6"/>
      <c r="R94" s="6"/>
      <c r="S94" s="6"/>
    </row>
    <row r="95" spans="1:19" x14ac:dyDescent="0.25">
      <c r="A95" s="22" t="s">
        <v>3822</v>
      </c>
      <c r="B95" s="6" t="s">
        <v>3807</v>
      </c>
      <c r="C95" s="6" t="s">
        <v>3823</v>
      </c>
      <c r="D95" s="6" t="s">
        <v>140</v>
      </c>
      <c r="E95" s="6" t="s">
        <v>104</v>
      </c>
      <c r="F95" s="6" t="s">
        <v>105</v>
      </c>
      <c r="G95" s="6" t="s">
        <v>80</v>
      </c>
      <c r="H95" s="6"/>
      <c r="I95" s="6" t="s">
        <v>3824</v>
      </c>
      <c r="J95" s="6" t="s">
        <v>3825</v>
      </c>
      <c r="K95" s="6" t="s">
        <v>3826</v>
      </c>
      <c r="L95" s="23"/>
      <c r="M95" s="6" t="s">
        <v>33</v>
      </c>
      <c r="N95" s="6"/>
      <c r="O95" s="6"/>
      <c r="P95" s="24"/>
      <c r="Q95" s="6"/>
      <c r="R95" s="6"/>
      <c r="S95" s="6"/>
    </row>
    <row r="96" spans="1:19" x14ac:dyDescent="0.25">
      <c r="A96" s="22" t="s">
        <v>3827</v>
      </c>
      <c r="B96" s="6" t="s">
        <v>3807</v>
      </c>
      <c r="C96" s="6" t="s">
        <v>3828</v>
      </c>
      <c r="D96" s="6" t="s">
        <v>103</v>
      </c>
      <c r="E96" s="6" t="s">
        <v>113</v>
      </c>
      <c r="F96" s="6" t="s">
        <v>105</v>
      </c>
      <c r="G96" s="6" t="s">
        <v>80</v>
      </c>
      <c r="H96" s="6"/>
      <c r="I96" s="6" t="s">
        <v>3530</v>
      </c>
      <c r="J96" s="6" t="s">
        <v>3829</v>
      </c>
      <c r="K96" s="6" t="s">
        <v>3830</v>
      </c>
      <c r="L96" s="23"/>
      <c r="M96" s="6" t="s">
        <v>33</v>
      </c>
      <c r="N96" s="6"/>
      <c r="O96" s="6"/>
      <c r="P96" s="24"/>
      <c r="Q96" s="6"/>
      <c r="R96" s="6"/>
      <c r="S96" s="6"/>
    </row>
    <row r="97" spans="1:19" x14ac:dyDescent="0.25">
      <c r="A97" s="22" t="s">
        <v>3831</v>
      </c>
      <c r="B97" s="6" t="s">
        <v>3807</v>
      </c>
      <c r="C97" s="6" t="s">
        <v>3832</v>
      </c>
      <c r="D97" s="6" t="s">
        <v>112</v>
      </c>
      <c r="E97" s="6" t="s">
        <v>104</v>
      </c>
      <c r="F97" s="6" t="s">
        <v>105</v>
      </c>
      <c r="G97" s="6" t="s">
        <v>80</v>
      </c>
      <c r="H97" s="6"/>
      <c r="I97" s="6" t="s">
        <v>3833</v>
      </c>
      <c r="J97" s="6" t="s">
        <v>3834</v>
      </c>
      <c r="K97" s="6" t="s">
        <v>3835</v>
      </c>
      <c r="L97" s="23"/>
      <c r="M97" s="6" t="s">
        <v>33</v>
      </c>
      <c r="N97" s="6"/>
      <c r="O97" s="6"/>
      <c r="P97" s="24"/>
      <c r="Q97" s="6"/>
      <c r="R97" s="6"/>
      <c r="S97" s="6"/>
    </row>
    <row r="98" spans="1:19" x14ac:dyDescent="0.25">
      <c r="A98" s="22" t="s">
        <v>3836</v>
      </c>
      <c r="B98" s="6" t="s">
        <v>3807</v>
      </c>
      <c r="C98" s="6" t="s">
        <v>3837</v>
      </c>
      <c r="D98" s="6" t="s">
        <v>112</v>
      </c>
      <c r="E98" s="6" t="s">
        <v>113</v>
      </c>
      <c r="F98" s="6" t="s">
        <v>105</v>
      </c>
      <c r="G98" s="6" t="s">
        <v>80</v>
      </c>
      <c r="H98" s="6"/>
      <c r="I98" s="6" t="s">
        <v>3838</v>
      </c>
      <c r="J98" s="6" t="s">
        <v>3839</v>
      </c>
      <c r="K98" s="6" t="s">
        <v>3840</v>
      </c>
      <c r="L98" s="23"/>
      <c r="M98" s="6" t="s">
        <v>33</v>
      </c>
      <c r="N98" s="6"/>
      <c r="O98" s="6"/>
      <c r="P98" s="24"/>
      <c r="Q98" s="6"/>
      <c r="R98" s="6"/>
      <c r="S98" s="6"/>
    </row>
    <row r="99" spans="1:19" x14ac:dyDescent="0.25">
      <c r="A99" s="22" t="s">
        <v>3841</v>
      </c>
      <c r="B99" s="6" t="s">
        <v>3807</v>
      </c>
      <c r="C99" s="6" t="s">
        <v>3842</v>
      </c>
      <c r="D99" s="6" t="s">
        <v>112</v>
      </c>
      <c r="E99" s="6" t="s">
        <v>104</v>
      </c>
      <c r="F99" s="6" t="s">
        <v>105</v>
      </c>
      <c r="G99" s="6" t="s">
        <v>80</v>
      </c>
      <c r="H99" s="6"/>
      <c r="I99" s="6" t="s">
        <v>3843</v>
      </c>
      <c r="J99" s="6" t="s">
        <v>3844</v>
      </c>
      <c r="K99" s="6" t="s">
        <v>3845</v>
      </c>
      <c r="L99" s="23"/>
      <c r="M99" s="6" t="s">
        <v>33</v>
      </c>
      <c r="N99" s="6"/>
      <c r="O99" s="6"/>
      <c r="P99" s="24"/>
      <c r="Q99" s="6"/>
      <c r="R99" s="6"/>
      <c r="S99" s="6"/>
    </row>
    <row r="100" spans="1:19" x14ac:dyDescent="0.25">
      <c r="A100" s="22" t="s">
        <v>3846</v>
      </c>
      <c r="B100" s="6" t="s">
        <v>3847</v>
      </c>
      <c r="C100" s="6" t="s">
        <v>3848</v>
      </c>
      <c r="D100" s="6" t="s">
        <v>103</v>
      </c>
      <c r="E100" s="6" t="s">
        <v>145</v>
      </c>
      <c r="F100" s="6" t="s">
        <v>121</v>
      </c>
      <c r="G100" s="6" t="s">
        <v>80</v>
      </c>
      <c r="H100" s="6"/>
      <c r="I100" s="6" t="s">
        <v>3849</v>
      </c>
      <c r="J100" s="6" t="s">
        <v>3850</v>
      </c>
      <c r="K100" s="6" t="s">
        <v>3851</v>
      </c>
      <c r="L100" s="23"/>
      <c r="M100" s="6" t="s">
        <v>33</v>
      </c>
      <c r="N100" s="6"/>
      <c r="O100" s="6"/>
      <c r="P100" s="24"/>
      <c r="Q100" s="6"/>
      <c r="R100" s="6"/>
      <c r="S100" s="6"/>
    </row>
    <row r="101" spans="1:19" x14ac:dyDescent="0.25">
      <c r="A101" s="22" t="s">
        <v>3852</v>
      </c>
      <c r="B101" s="6" t="s">
        <v>3847</v>
      </c>
      <c r="C101" s="6" t="s">
        <v>3853</v>
      </c>
      <c r="D101" s="6" t="s">
        <v>103</v>
      </c>
      <c r="E101" s="6" t="s">
        <v>104</v>
      </c>
      <c r="F101" s="6" t="s">
        <v>121</v>
      </c>
      <c r="G101" s="6" t="s">
        <v>80</v>
      </c>
      <c r="H101" s="6"/>
      <c r="I101" s="6" t="s">
        <v>3854</v>
      </c>
      <c r="J101" s="6" t="s">
        <v>3855</v>
      </c>
      <c r="K101" s="6" t="s">
        <v>3856</v>
      </c>
      <c r="L101" s="23"/>
      <c r="M101" s="6" t="s">
        <v>33</v>
      </c>
      <c r="N101" s="6"/>
      <c r="O101" s="6"/>
      <c r="P101" s="24"/>
      <c r="Q101" s="6"/>
      <c r="R101" s="6"/>
      <c r="S101" s="6"/>
    </row>
    <row r="102" spans="1:19" x14ac:dyDescent="0.25">
      <c r="A102" s="22" t="s">
        <v>3857</v>
      </c>
      <c r="B102" s="6" t="s">
        <v>3847</v>
      </c>
      <c r="C102" s="6" t="s">
        <v>3858</v>
      </c>
      <c r="D102" s="6" t="s">
        <v>103</v>
      </c>
      <c r="E102" s="6" t="s">
        <v>113</v>
      </c>
      <c r="F102" s="6" t="s">
        <v>121</v>
      </c>
      <c r="G102" s="6" t="s">
        <v>80</v>
      </c>
      <c r="H102" s="6"/>
      <c r="I102" s="6" t="s">
        <v>3859</v>
      </c>
      <c r="J102" s="6" t="s">
        <v>3860</v>
      </c>
      <c r="K102" s="6" t="s">
        <v>3861</v>
      </c>
      <c r="L102" s="23"/>
      <c r="M102" s="6" t="s">
        <v>33</v>
      </c>
      <c r="N102" s="6"/>
      <c r="O102" s="6"/>
      <c r="P102" s="24"/>
      <c r="Q102" s="6"/>
      <c r="R102" s="6"/>
      <c r="S102" s="6"/>
    </row>
    <row r="103" spans="1:19" x14ac:dyDescent="0.25">
      <c r="A103" s="22" t="s">
        <v>3862</v>
      </c>
      <c r="B103" s="6" t="s">
        <v>3847</v>
      </c>
      <c r="C103" s="6" t="s">
        <v>3863</v>
      </c>
      <c r="D103" s="6" t="s">
        <v>103</v>
      </c>
      <c r="E103" s="6" t="s">
        <v>113</v>
      </c>
      <c r="F103" s="6" t="s">
        <v>121</v>
      </c>
      <c r="G103" s="6" t="s">
        <v>80</v>
      </c>
      <c r="H103" s="6"/>
      <c r="I103" s="6" t="s">
        <v>3864</v>
      </c>
      <c r="J103" s="6" t="s">
        <v>3865</v>
      </c>
      <c r="K103" s="6" t="s">
        <v>3866</v>
      </c>
      <c r="L103" s="23"/>
      <c r="M103" s="6" t="s">
        <v>33</v>
      </c>
      <c r="N103" s="6"/>
      <c r="O103" s="6"/>
      <c r="P103" s="24"/>
      <c r="Q103" s="6"/>
      <c r="R103" s="6"/>
      <c r="S103" s="6"/>
    </row>
    <row r="104" spans="1:19" x14ac:dyDescent="0.25">
      <c r="A104" s="22" t="s">
        <v>3867</v>
      </c>
      <c r="B104" s="6" t="s">
        <v>3847</v>
      </c>
      <c r="C104" s="6" t="s">
        <v>3868</v>
      </c>
      <c r="D104" s="6" t="s">
        <v>112</v>
      </c>
      <c r="E104" s="6" t="s">
        <v>113</v>
      </c>
      <c r="F104" s="6" t="s">
        <v>121</v>
      </c>
      <c r="G104" s="6" t="s">
        <v>80</v>
      </c>
      <c r="H104" s="6"/>
      <c r="I104" s="6" t="s">
        <v>3869</v>
      </c>
      <c r="J104" s="6" t="s">
        <v>3870</v>
      </c>
      <c r="K104" s="6" t="s">
        <v>3871</v>
      </c>
      <c r="L104" s="23"/>
      <c r="M104" s="6" t="s">
        <v>33</v>
      </c>
      <c r="N104" s="6"/>
      <c r="O104" s="6"/>
      <c r="P104" s="24"/>
      <c r="Q104" s="6"/>
      <c r="R104" s="6"/>
      <c r="S104" s="6"/>
    </row>
    <row r="105" spans="1:19" x14ac:dyDescent="0.25">
      <c r="A105" s="22" t="s">
        <v>3872</v>
      </c>
      <c r="B105" s="6" t="s">
        <v>3847</v>
      </c>
      <c r="C105" s="6" t="s">
        <v>3873</v>
      </c>
      <c r="D105" s="6" t="s">
        <v>103</v>
      </c>
      <c r="E105" s="6" t="s">
        <v>113</v>
      </c>
      <c r="F105" s="6" t="s">
        <v>121</v>
      </c>
      <c r="G105" s="6" t="s">
        <v>80</v>
      </c>
      <c r="H105" s="6"/>
      <c r="I105" s="6" t="s">
        <v>3874</v>
      </c>
      <c r="J105" s="6" t="s">
        <v>3875</v>
      </c>
      <c r="K105" s="6" t="s">
        <v>3876</v>
      </c>
      <c r="L105" s="23"/>
      <c r="M105" s="6" t="s">
        <v>33</v>
      </c>
      <c r="N105" s="6"/>
      <c r="O105" s="6"/>
      <c r="P105" s="24"/>
      <c r="Q105" s="6"/>
      <c r="R105" s="6"/>
      <c r="S105" s="6"/>
    </row>
    <row r="106" spans="1:19" x14ac:dyDescent="0.25">
      <c r="A106" s="22" t="s">
        <v>3877</v>
      </c>
      <c r="B106" s="6" t="s">
        <v>3878</v>
      </c>
      <c r="C106" s="6" t="s">
        <v>3879</v>
      </c>
      <c r="D106" s="6" t="s">
        <v>112</v>
      </c>
      <c r="E106" s="6" t="s">
        <v>104</v>
      </c>
      <c r="F106" s="6" t="s">
        <v>121</v>
      </c>
      <c r="G106" s="6" t="s">
        <v>79</v>
      </c>
      <c r="H106" s="6" t="s">
        <v>3880</v>
      </c>
      <c r="I106" s="6" t="s">
        <v>3881</v>
      </c>
      <c r="J106" s="6" t="s">
        <v>3882</v>
      </c>
      <c r="K106" s="6" t="s">
        <v>3883</v>
      </c>
      <c r="L106" s="23" t="s">
        <v>3884</v>
      </c>
      <c r="M106" s="6" t="s">
        <v>33</v>
      </c>
      <c r="N106" s="6"/>
      <c r="O106" s="6"/>
      <c r="P106" s="24"/>
      <c r="Q106" s="6"/>
      <c r="R106" s="6"/>
      <c r="S106" s="6"/>
    </row>
    <row r="107" spans="1:19" x14ac:dyDescent="0.25">
      <c r="A107" s="22" t="s">
        <v>3885</v>
      </c>
      <c r="B107" s="6" t="s">
        <v>3878</v>
      </c>
      <c r="C107" s="6" t="s">
        <v>3886</v>
      </c>
      <c r="D107" s="6" t="s">
        <v>112</v>
      </c>
      <c r="E107" s="6" t="s">
        <v>104</v>
      </c>
      <c r="F107" s="6" t="s">
        <v>121</v>
      </c>
      <c r="G107" s="6" t="s">
        <v>79</v>
      </c>
      <c r="H107" s="6" t="s">
        <v>3887</v>
      </c>
      <c r="I107" s="6" t="s">
        <v>3888</v>
      </c>
      <c r="J107" s="6" t="s">
        <v>3889</v>
      </c>
      <c r="K107" s="6" t="s">
        <v>3890</v>
      </c>
      <c r="L107" s="23" t="s">
        <v>3891</v>
      </c>
      <c r="M107" s="6" t="s">
        <v>33</v>
      </c>
      <c r="N107" s="6"/>
      <c r="O107" s="6"/>
      <c r="P107" s="24"/>
      <c r="Q107" s="6"/>
      <c r="R107" s="6"/>
      <c r="S107" s="6"/>
    </row>
    <row r="108" spans="1:19" x14ac:dyDescent="0.25">
      <c r="A108" s="22" t="s">
        <v>3892</v>
      </c>
      <c r="B108" s="6" t="s">
        <v>3878</v>
      </c>
      <c r="C108" s="6" t="s">
        <v>3893</v>
      </c>
      <c r="D108" s="6" t="s">
        <v>112</v>
      </c>
      <c r="E108" s="6" t="s">
        <v>104</v>
      </c>
      <c r="F108" s="6" t="s">
        <v>121</v>
      </c>
      <c r="G108" s="6" t="s">
        <v>79</v>
      </c>
      <c r="H108" s="6" t="s">
        <v>3894</v>
      </c>
      <c r="I108" s="6" t="s">
        <v>3895</v>
      </c>
      <c r="J108" s="6" t="s">
        <v>3896</v>
      </c>
      <c r="K108" s="6" t="s">
        <v>3897</v>
      </c>
      <c r="L108" s="23" t="s">
        <v>3898</v>
      </c>
      <c r="M108" s="6" t="s">
        <v>33</v>
      </c>
      <c r="N108" s="6"/>
      <c r="O108" s="6"/>
      <c r="P108" s="24"/>
      <c r="Q108" s="6"/>
      <c r="R108" s="6"/>
      <c r="S108" s="6"/>
    </row>
    <row r="109" spans="1:19" x14ac:dyDescent="0.25">
      <c r="A109" s="22" t="s">
        <v>3899</v>
      </c>
      <c r="B109" s="6" t="s">
        <v>3878</v>
      </c>
      <c r="C109" s="6" t="s">
        <v>3900</v>
      </c>
      <c r="D109" s="6" t="s">
        <v>112</v>
      </c>
      <c r="E109" s="6" t="s">
        <v>113</v>
      </c>
      <c r="F109" s="6" t="s">
        <v>121</v>
      </c>
      <c r="G109" s="6" t="s">
        <v>79</v>
      </c>
      <c r="H109" s="6" t="s">
        <v>3901</v>
      </c>
      <c r="I109" s="6" t="s">
        <v>3902</v>
      </c>
      <c r="J109" s="6" t="s">
        <v>3903</v>
      </c>
      <c r="K109" s="6" t="s">
        <v>3904</v>
      </c>
      <c r="L109" s="23" t="s">
        <v>3905</v>
      </c>
      <c r="M109" s="6" t="s">
        <v>33</v>
      </c>
      <c r="N109" s="6"/>
      <c r="O109" s="6"/>
      <c r="P109" s="24"/>
      <c r="Q109" s="6"/>
      <c r="R109" s="6"/>
      <c r="S109" s="6"/>
    </row>
    <row r="110" spans="1:19" x14ac:dyDescent="0.25">
      <c r="A110" s="22" t="s">
        <v>3906</v>
      </c>
      <c r="B110" s="6" t="s">
        <v>3878</v>
      </c>
      <c r="C110" s="6" t="s">
        <v>3907</v>
      </c>
      <c r="D110" s="6" t="s">
        <v>112</v>
      </c>
      <c r="E110" s="6" t="s">
        <v>113</v>
      </c>
      <c r="F110" s="6" t="s">
        <v>105</v>
      </c>
      <c r="G110" s="6" t="s">
        <v>79</v>
      </c>
      <c r="H110" s="6" t="s">
        <v>3908</v>
      </c>
      <c r="I110" s="6" t="s">
        <v>3909</v>
      </c>
      <c r="J110" s="6" t="s">
        <v>3910</v>
      </c>
      <c r="K110" s="6" t="s">
        <v>3911</v>
      </c>
      <c r="L110" s="23" t="s">
        <v>3912</v>
      </c>
      <c r="M110" s="6" t="s">
        <v>33</v>
      </c>
      <c r="N110" s="6"/>
      <c r="O110" s="6"/>
      <c r="P110" s="24"/>
      <c r="Q110" s="6"/>
      <c r="R110" s="6"/>
      <c r="S110" s="6"/>
    </row>
    <row r="111" spans="1:19" x14ac:dyDescent="0.25">
      <c r="A111" s="22" t="s">
        <v>3913</v>
      </c>
      <c r="B111" s="6" t="s">
        <v>3914</v>
      </c>
      <c r="C111" s="6" t="s">
        <v>3915</v>
      </c>
      <c r="D111" s="6" t="s">
        <v>103</v>
      </c>
      <c r="E111" s="6" t="s">
        <v>104</v>
      </c>
      <c r="F111" s="6" t="s">
        <v>105</v>
      </c>
      <c r="G111" s="6" t="s">
        <v>79</v>
      </c>
      <c r="H111" s="6" t="s">
        <v>3916</v>
      </c>
      <c r="I111" s="6" t="s">
        <v>3917</v>
      </c>
      <c r="J111" s="6" t="s">
        <v>3918</v>
      </c>
      <c r="K111" s="6" t="s">
        <v>3919</v>
      </c>
      <c r="L111" s="23"/>
      <c r="M111" s="6" t="s">
        <v>33</v>
      </c>
      <c r="N111" s="6"/>
      <c r="O111" s="6"/>
      <c r="P111" s="24"/>
      <c r="Q111" s="6"/>
      <c r="R111" s="6"/>
      <c r="S111" s="6"/>
    </row>
    <row r="112" spans="1:19" x14ac:dyDescent="0.25">
      <c r="A112" s="22" t="s">
        <v>3920</v>
      </c>
      <c r="B112" s="6" t="s">
        <v>3914</v>
      </c>
      <c r="C112" s="6" t="s">
        <v>3921</v>
      </c>
      <c r="D112" s="6" t="s">
        <v>103</v>
      </c>
      <c r="E112" s="6" t="s">
        <v>113</v>
      </c>
      <c r="F112" s="6" t="s">
        <v>105</v>
      </c>
      <c r="G112" s="6" t="s">
        <v>80</v>
      </c>
      <c r="H112" s="6" t="s">
        <v>3922</v>
      </c>
      <c r="I112" s="6" t="s">
        <v>3923</v>
      </c>
      <c r="J112" s="6" t="s">
        <v>3924</v>
      </c>
      <c r="K112" s="6" t="s">
        <v>3925</v>
      </c>
      <c r="L112" s="23"/>
      <c r="M112" s="6" t="s">
        <v>33</v>
      </c>
      <c r="N112" s="6"/>
      <c r="O112" s="6"/>
      <c r="P112" s="24"/>
      <c r="Q112" s="6"/>
      <c r="R112" s="6"/>
      <c r="S112" s="6"/>
    </row>
    <row r="113" spans="1:19" x14ac:dyDescent="0.25">
      <c r="A113" s="22" t="s">
        <v>3926</v>
      </c>
      <c r="B113" s="6" t="s">
        <v>3914</v>
      </c>
      <c r="C113" s="6" t="s">
        <v>3927</v>
      </c>
      <c r="D113" s="6" t="s">
        <v>103</v>
      </c>
      <c r="E113" s="6" t="s">
        <v>113</v>
      </c>
      <c r="F113" s="6" t="s">
        <v>105</v>
      </c>
      <c r="G113" s="6" t="s">
        <v>80</v>
      </c>
      <c r="H113" s="6" t="s">
        <v>3327</v>
      </c>
      <c r="I113" s="6" t="s">
        <v>3928</v>
      </c>
      <c r="J113" s="6" t="s">
        <v>3929</v>
      </c>
      <c r="K113" s="6" t="s">
        <v>3930</v>
      </c>
      <c r="L113" s="23"/>
      <c r="M113" s="6" t="s">
        <v>33</v>
      </c>
      <c r="N113" s="6"/>
      <c r="O113" s="6"/>
      <c r="P113" s="24"/>
      <c r="Q113" s="6"/>
      <c r="R113" s="6"/>
      <c r="S113" s="6"/>
    </row>
    <row r="114" spans="1:19" x14ac:dyDescent="0.25">
      <c r="A114" s="22" t="s">
        <v>3931</v>
      </c>
      <c r="B114" s="6" t="s">
        <v>3914</v>
      </c>
      <c r="C114" s="6" t="s">
        <v>3932</v>
      </c>
      <c r="D114" s="6" t="s">
        <v>103</v>
      </c>
      <c r="E114" s="6" t="s">
        <v>113</v>
      </c>
      <c r="F114" s="6" t="s">
        <v>105</v>
      </c>
      <c r="G114" s="6" t="s">
        <v>80</v>
      </c>
      <c r="H114" s="6" t="s">
        <v>3933</v>
      </c>
      <c r="I114" s="6" t="s">
        <v>3934</v>
      </c>
      <c r="J114" s="6" t="s">
        <v>3935</v>
      </c>
      <c r="K114" s="6" t="s">
        <v>3936</v>
      </c>
      <c r="L114" s="23" t="s">
        <v>3937</v>
      </c>
      <c r="M114" s="6" t="s">
        <v>33</v>
      </c>
      <c r="N114" s="6"/>
      <c r="O114" s="6"/>
      <c r="P114" s="24"/>
      <c r="Q114" s="6"/>
      <c r="R114" s="6"/>
      <c r="S114" s="6"/>
    </row>
    <row r="115" spans="1:19" x14ac:dyDescent="0.25">
      <c r="A115" s="22" t="s">
        <v>3938</v>
      </c>
      <c r="B115" s="6" t="s">
        <v>3914</v>
      </c>
      <c r="C115" s="6" t="s">
        <v>3939</v>
      </c>
      <c r="D115" s="6" t="s">
        <v>103</v>
      </c>
      <c r="E115" s="6" t="s">
        <v>113</v>
      </c>
      <c r="F115" s="6" t="s">
        <v>121</v>
      </c>
      <c r="G115" s="6" t="s">
        <v>80</v>
      </c>
      <c r="H115" s="6" t="s">
        <v>3940</v>
      </c>
      <c r="I115" s="6" t="s">
        <v>3941</v>
      </c>
      <c r="J115" s="6" t="s">
        <v>3942</v>
      </c>
      <c r="K115" s="6" t="s">
        <v>3943</v>
      </c>
      <c r="L115" s="23" t="s">
        <v>3944</v>
      </c>
      <c r="M115" s="6" t="s">
        <v>33</v>
      </c>
      <c r="N115" s="6"/>
      <c r="O115" s="6"/>
      <c r="P115" s="24"/>
      <c r="Q115" s="6"/>
      <c r="R115" s="6"/>
      <c r="S115" s="6"/>
    </row>
    <row r="116" spans="1:19" x14ac:dyDescent="0.25">
      <c r="A116" s="22" t="s">
        <v>3945</v>
      </c>
      <c r="B116" s="6" t="s">
        <v>697</v>
      </c>
      <c r="C116" s="6" t="s">
        <v>3946</v>
      </c>
      <c r="D116" s="6" t="s">
        <v>103</v>
      </c>
      <c r="E116" s="6" t="s">
        <v>113</v>
      </c>
      <c r="F116" s="6" t="s">
        <v>105</v>
      </c>
      <c r="G116" s="6" t="s">
        <v>80</v>
      </c>
      <c r="H116" s="6" t="s">
        <v>3947</v>
      </c>
      <c r="I116" s="6" t="s">
        <v>3948</v>
      </c>
      <c r="J116" s="6" t="s">
        <v>3949</v>
      </c>
      <c r="K116" s="6" t="s">
        <v>3950</v>
      </c>
      <c r="L116" s="23" t="s">
        <v>3951</v>
      </c>
      <c r="M116" s="6" t="s">
        <v>33</v>
      </c>
      <c r="N116" s="6"/>
      <c r="O116" s="6"/>
      <c r="P116" s="24"/>
      <c r="Q116" s="6"/>
      <c r="R116" s="6"/>
      <c r="S116" s="6"/>
    </row>
    <row r="117" spans="1:19" x14ac:dyDescent="0.25">
      <c r="A117" s="22" t="s">
        <v>3952</v>
      </c>
      <c r="B117" s="6" t="s">
        <v>3953</v>
      </c>
      <c r="C117" s="6" t="s">
        <v>3954</v>
      </c>
      <c r="D117" s="6" t="s">
        <v>103</v>
      </c>
      <c r="E117" s="6" t="s">
        <v>104</v>
      </c>
      <c r="F117" s="6" t="s">
        <v>105</v>
      </c>
      <c r="G117" s="6" t="s">
        <v>78</v>
      </c>
      <c r="H117" s="6" t="s">
        <v>3955</v>
      </c>
      <c r="I117" s="6" t="s">
        <v>3956</v>
      </c>
      <c r="J117" s="6" t="s">
        <v>3957</v>
      </c>
      <c r="K117" s="6" t="s">
        <v>3958</v>
      </c>
      <c r="L117" s="23" t="s">
        <v>3959</v>
      </c>
      <c r="M117" s="6" t="s">
        <v>33</v>
      </c>
      <c r="N117" s="6"/>
      <c r="O117" s="6"/>
      <c r="P117" s="24"/>
      <c r="Q117" s="6"/>
      <c r="R117" s="6"/>
      <c r="S117" s="6"/>
    </row>
    <row r="118" spans="1:19" x14ac:dyDescent="0.25">
      <c r="A118" s="22" t="s">
        <v>3960</v>
      </c>
      <c r="B118" s="6" t="s">
        <v>3953</v>
      </c>
      <c r="C118" s="6" t="s">
        <v>3961</v>
      </c>
      <c r="D118" s="6" t="s">
        <v>103</v>
      </c>
      <c r="E118" s="6" t="s">
        <v>104</v>
      </c>
      <c r="F118" s="6" t="s">
        <v>105</v>
      </c>
      <c r="G118" s="6" t="s">
        <v>79</v>
      </c>
      <c r="H118" s="6" t="s">
        <v>3962</v>
      </c>
      <c r="I118" s="6" t="s">
        <v>3963</v>
      </c>
      <c r="J118" s="6" t="s">
        <v>3964</v>
      </c>
      <c r="K118" s="6" t="s">
        <v>3965</v>
      </c>
      <c r="L118" s="23"/>
      <c r="M118" s="6" t="s">
        <v>33</v>
      </c>
      <c r="N118" s="6"/>
      <c r="O118" s="6"/>
      <c r="P118" s="24"/>
      <c r="Q118" s="6"/>
      <c r="R118" s="6"/>
      <c r="S118" s="6"/>
    </row>
    <row r="119" spans="1:19" x14ac:dyDescent="0.25">
      <c r="A119" s="22" t="s">
        <v>3966</v>
      </c>
      <c r="B119" s="6" t="s">
        <v>3953</v>
      </c>
      <c r="C119" s="6" t="s">
        <v>3967</v>
      </c>
      <c r="D119" s="6" t="s">
        <v>103</v>
      </c>
      <c r="E119" s="6" t="s">
        <v>104</v>
      </c>
      <c r="F119" s="6" t="s">
        <v>105</v>
      </c>
      <c r="G119" s="6" t="s">
        <v>79</v>
      </c>
      <c r="H119" s="6" t="s">
        <v>3968</v>
      </c>
      <c r="I119" s="6" t="s">
        <v>3969</v>
      </c>
      <c r="J119" s="6" t="s">
        <v>3970</v>
      </c>
      <c r="K119" s="6" t="s">
        <v>3971</v>
      </c>
      <c r="L119" s="23"/>
      <c r="M119" s="6" t="s">
        <v>33</v>
      </c>
      <c r="N119" s="6"/>
      <c r="O119" s="6"/>
      <c r="P119" s="24"/>
      <c r="Q119" s="6"/>
      <c r="R119" s="6"/>
      <c r="S119" s="6"/>
    </row>
    <row r="120" spans="1:19" x14ac:dyDescent="0.25">
      <c r="A120" s="22" t="s">
        <v>3972</v>
      </c>
      <c r="B120" s="6" t="s">
        <v>3953</v>
      </c>
      <c r="C120" s="6" t="s">
        <v>3973</v>
      </c>
      <c r="D120" s="6" t="s">
        <v>103</v>
      </c>
      <c r="E120" s="6" t="s">
        <v>104</v>
      </c>
      <c r="F120" s="6" t="s">
        <v>105</v>
      </c>
      <c r="G120" s="6" t="s">
        <v>80</v>
      </c>
      <c r="H120" s="6" t="s">
        <v>3974</v>
      </c>
      <c r="I120" s="6" t="s">
        <v>3975</v>
      </c>
      <c r="J120" s="6" t="s">
        <v>3976</v>
      </c>
      <c r="K120" s="6" t="s">
        <v>3977</v>
      </c>
      <c r="L120" s="23" t="s">
        <v>3978</v>
      </c>
      <c r="M120" s="6" t="s">
        <v>33</v>
      </c>
      <c r="N120" s="6"/>
      <c r="O120" s="6"/>
      <c r="P120" s="24"/>
      <c r="Q120" s="6"/>
      <c r="R120" s="6"/>
      <c r="S120" s="6"/>
    </row>
    <row r="121" spans="1:19" x14ac:dyDescent="0.25">
      <c r="A121" s="22" t="s">
        <v>3979</v>
      </c>
      <c r="B121" s="6" t="s">
        <v>3953</v>
      </c>
      <c r="C121" s="6" t="s">
        <v>3980</v>
      </c>
      <c r="D121" s="6" t="s">
        <v>103</v>
      </c>
      <c r="E121" s="6" t="s">
        <v>104</v>
      </c>
      <c r="F121" s="6" t="s">
        <v>105</v>
      </c>
      <c r="G121" s="6" t="s">
        <v>79</v>
      </c>
      <c r="H121" s="6" t="s">
        <v>3981</v>
      </c>
      <c r="I121" s="6" t="s">
        <v>3982</v>
      </c>
      <c r="J121" s="6" t="s">
        <v>3983</v>
      </c>
      <c r="K121" s="6" t="s">
        <v>3984</v>
      </c>
      <c r="L121" s="23"/>
      <c r="M121" s="6" t="s">
        <v>33</v>
      </c>
      <c r="N121" s="6"/>
      <c r="O121" s="6"/>
      <c r="P121" s="24"/>
      <c r="Q121" s="6"/>
      <c r="R121" s="6"/>
      <c r="S121" s="6"/>
    </row>
    <row r="122" spans="1:19" x14ac:dyDescent="0.25">
      <c r="A122" s="22" t="s">
        <v>3985</v>
      </c>
      <c r="B122" s="6" t="s">
        <v>3953</v>
      </c>
      <c r="C122" s="6" t="s">
        <v>3986</v>
      </c>
      <c r="D122" s="6" t="s">
        <v>103</v>
      </c>
      <c r="E122" s="6" t="s">
        <v>104</v>
      </c>
      <c r="F122" s="6" t="s">
        <v>105</v>
      </c>
      <c r="G122" s="6" t="s">
        <v>80</v>
      </c>
      <c r="H122" s="6" t="s">
        <v>3987</v>
      </c>
      <c r="I122" s="6" t="s">
        <v>3988</v>
      </c>
      <c r="J122" s="6" t="s">
        <v>3989</v>
      </c>
      <c r="K122" s="6" t="s">
        <v>3990</v>
      </c>
      <c r="L122" s="23" t="s">
        <v>3991</v>
      </c>
      <c r="M122" s="6" t="s">
        <v>33</v>
      </c>
      <c r="N122" s="6"/>
      <c r="O122" s="6"/>
      <c r="P122" s="24"/>
      <c r="Q122" s="6"/>
      <c r="R122" s="6"/>
      <c r="S122" s="6"/>
    </row>
    <row r="123" spans="1:19" x14ac:dyDescent="0.25">
      <c r="A123" s="22" t="s">
        <v>3992</v>
      </c>
      <c r="B123" s="6" t="s">
        <v>3953</v>
      </c>
      <c r="C123" s="6" t="s">
        <v>3993</v>
      </c>
      <c r="D123" s="6" t="s">
        <v>103</v>
      </c>
      <c r="E123" s="6" t="s">
        <v>104</v>
      </c>
      <c r="F123" s="6" t="s">
        <v>105</v>
      </c>
      <c r="G123" s="6" t="s">
        <v>79</v>
      </c>
      <c r="H123" s="6" t="s">
        <v>3994</v>
      </c>
      <c r="I123" s="6" t="s">
        <v>3995</v>
      </c>
      <c r="J123" s="6" t="s">
        <v>3996</v>
      </c>
      <c r="K123" s="6" t="s">
        <v>3997</v>
      </c>
      <c r="L123" s="23"/>
      <c r="M123" s="6" t="s">
        <v>33</v>
      </c>
      <c r="N123" s="6"/>
      <c r="O123" s="6"/>
      <c r="P123" s="24"/>
      <c r="Q123" s="6"/>
      <c r="R123" s="6"/>
      <c r="S123" s="6"/>
    </row>
    <row r="124" spans="1:19" x14ac:dyDescent="0.25">
      <c r="A124" s="22" t="s">
        <v>3998</v>
      </c>
      <c r="B124" s="6" t="s">
        <v>3953</v>
      </c>
      <c r="C124" s="6" t="s">
        <v>3999</v>
      </c>
      <c r="D124" s="6" t="s">
        <v>103</v>
      </c>
      <c r="E124" s="6" t="s">
        <v>104</v>
      </c>
      <c r="F124" s="6" t="s">
        <v>105</v>
      </c>
      <c r="G124" s="6" t="s">
        <v>80</v>
      </c>
      <c r="H124" s="6" t="s">
        <v>4000</v>
      </c>
      <c r="I124" s="6" t="s">
        <v>4001</v>
      </c>
      <c r="J124" s="6" t="s">
        <v>4002</v>
      </c>
      <c r="K124" s="6" t="s">
        <v>4003</v>
      </c>
      <c r="L124" s="23"/>
      <c r="M124" s="6" t="s">
        <v>33</v>
      </c>
      <c r="N124" s="6"/>
      <c r="O124" s="6"/>
      <c r="P124" s="24"/>
      <c r="Q124" s="6"/>
      <c r="R124" s="6"/>
      <c r="S124" s="6"/>
    </row>
    <row r="125" spans="1:19" x14ac:dyDescent="0.25">
      <c r="A125" s="22" t="s">
        <v>4004</v>
      </c>
      <c r="B125" s="6" t="s">
        <v>4005</v>
      </c>
      <c r="C125" s="6" t="s">
        <v>4006</v>
      </c>
      <c r="D125" s="6" t="s">
        <v>120</v>
      </c>
      <c r="E125" s="6" t="s">
        <v>113</v>
      </c>
      <c r="F125" s="6" t="s">
        <v>105</v>
      </c>
      <c r="G125" s="6" t="s">
        <v>80</v>
      </c>
      <c r="H125" s="6" t="s">
        <v>4007</v>
      </c>
      <c r="I125" s="6" t="s">
        <v>4008</v>
      </c>
      <c r="J125" s="6" t="s">
        <v>4009</v>
      </c>
      <c r="K125" s="6" t="s">
        <v>4010</v>
      </c>
      <c r="L125" s="23"/>
      <c r="M125" s="6" t="s">
        <v>33</v>
      </c>
      <c r="N125" s="6"/>
      <c r="O125" s="6"/>
      <c r="P125" s="24"/>
      <c r="Q125" s="6"/>
      <c r="R125" s="6"/>
      <c r="S125" s="6"/>
    </row>
    <row r="126" spans="1:19" x14ac:dyDescent="0.25">
      <c r="A126" s="22" t="s">
        <v>4011</v>
      </c>
      <c r="B126" s="6" t="s">
        <v>4005</v>
      </c>
      <c r="C126" s="6" t="s">
        <v>4012</v>
      </c>
      <c r="D126" s="6" t="s">
        <v>120</v>
      </c>
      <c r="E126" s="6" t="s">
        <v>113</v>
      </c>
      <c r="F126" s="6" t="s">
        <v>105</v>
      </c>
      <c r="G126" s="6" t="s">
        <v>80</v>
      </c>
      <c r="H126" s="6" t="s">
        <v>4013</v>
      </c>
      <c r="I126" s="6" t="s">
        <v>4014</v>
      </c>
      <c r="J126" s="6" t="s">
        <v>4015</v>
      </c>
      <c r="K126" s="6" t="s">
        <v>4016</v>
      </c>
      <c r="L126" s="23"/>
      <c r="M126" s="6" t="s">
        <v>33</v>
      </c>
      <c r="N126" s="6"/>
      <c r="O126" s="6"/>
      <c r="P126" s="24"/>
      <c r="Q126" s="6"/>
      <c r="R126" s="6"/>
      <c r="S126" s="6"/>
    </row>
    <row r="127" spans="1:19" x14ac:dyDescent="0.25">
      <c r="A127" s="22" t="s">
        <v>4017</v>
      </c>
      <c r="B127" s="6" t="s">
        <v>4005</v>
      </c>
      <c r="C127" s="6" t="s">
        <v>4018</v>
      </c>
      <c r="D127" s="6" t="s">
        <v>120</v>
      </c>
      <c r="E127" s="6" t="s">
        <v>113</v>
      </c>
      <c r="F127" s="6" t="s">
        <v>105</v>
      </c>
      <c r="G127" s="6" t="s">
        <v>80</v>
      </c>
      <c r="H127" s="6" t="s">
        <v>4019</v>
      </c>
      <c r="I127" s="6" t="s">
        <v>4020</v>
      </c>
      <c r="J127" s="6" t="s">
        <v>4021</v>
      </c>
      <c r="K127" s="6" t="s">
        <v>4022</v>
      </c>
      <c r="L127" s="23"/>
      <c r="M127" s="6" t="s">
        <v>33</v>
      </c>
      <c r="N127" s="6"/>
      <c r="O127" s="6"/>
      <c r="P127" s="24"/>
      <c r="Q127" s="6"/>
      <c r="R127" s="6"/>
      <c r="S127" s="6"/>
    </row>
    <row r="128" spans="1:19" x14ac:dyDescent="0.25">
      <c r="A128" s="22" t="s">
        <v>4023</v>
      </c>
      <c r="B128" s="6" t="s">
        <v>4005</v>
      </c>
      <c r="C128" s="6" t="s">
        <v>4024</v>
      </c>
      <c r="D128" s="6" t="s">
        <v>120</v>
      </c>
      <c r="E128" s="6" t="s">
        <v>113</v>
      </c>
      <c r="F128" s="6" t="s">
        <v>105</v>
      </c>
      <c r="G128" s="6" t="s">
        <v>78</v>
      </c>
      <c r="H128" s="6" t="s">
        <v>4025</v>
      </c>
      <c r="I128" s="6" t="s">
        <v>4026</v>
      </c>
      <c r="J128" s="6" t="s">
        <v>4027</v>
      </c>
      <c r="K128" s="6" t="s">
        <v>4028</v>
      </c>
      <c r="L128" s="23"/>
      <c r="M128" s="6" t="s">
        <v>33</v>
      </c>
      <c r="N128" s="6"/>
      <c r="O128" s="6"/>
      <c r="P128" s="24"/>
      <c r="Q128" s="6"/>
      <c r="R128" s="6"/>
      <c r="S128" s="6"/>
    </row>
    <row r="129" spans="1:19" x14ac:dyDescent="0.25">
      <c r="A129" s="22" t="s">
        <v>4029</v>
      </c>
      <c r="B129" s="6" t="s">
        <v>4005</v>
      </c>
      <c r="C129" s="6" t="s">
        <v>4030</v>
      </c>
      <c r="D129" s="6" t="s">
        <v>120</v>
      </c>
      <c r="E129" s="6" t="s">
        <v>113</v>
      </c>
      <c r="F129" s="6" t="s">
        <v>105</v>
      </c>
      <c r="G129" s="6" t="s">
        <v>78</v>
      </c>
      <c r="H129" s="6" t="s">
        <v>4031</v>
      </c>
      <c r="I129" s="6" t="s">
        <v>4032</v>
      </c>
      <c r="J129" s="6" t="s">
        <v>4033</v>
      </c>
      <c r="K129" s="6" t="s">
        <v>4034</v>
      </c>
      <c r="L129" s="23"/>
      <c r="M129" s="6" t="s">
        <v>33</v>
      </c>
      <c r="N129" s="6"/>
      <c r="O129" s="6"/>
      <c r="P129" s="24"/>
      <c r="Q129" s="6"/>
      <c r="R129" s="6"/>
      <c r="S129" s="6"/>
    </row>
    <row r="130" spans="1:19" x14ac:dyDescent="0.25">
      <c r="A130" s="22" t="s">
        <v>4035</v>
      </c>
      <c r="B130" s="6" t="s">
        <v>4005</v>
      </c>
      <c r="C130" s="6" t="s">
        <v>4036</v>
      </c>
      <c r="D130" s="6" t="s">
        <v>120</v>
      </c>
      <c r="E130" s="6" t="s">
        <v>113</v>
      </c>
      <c r="F130" s="6" t="s">
        <v>105</v>
      </c>
      <c r="G130" s="6" t="s">
        <v>80</v>
      </c>
      <c r="H130" s="6" t="s">
        <v>4037</v>
      </c>
      <c r="I130" s="6" t="s">
        <v>4038</v>
      </c>
      <c r="J130" s="6" t="s">
        <v>4039</v>
      </c>
      <c r="K130" s="6" t="s">
        <v>4040</v>
      </c>
      <c r="L130" s="23"/>
      <c r="M130" s="6" t="s">
        <v>33</v>
      </c>
      <c r="N130" s="6"/>
      <c r="O130" s="6"/>
      <c r="P130" s="24"/>
      <c r="Q130" s="6"/>
      <c r="R130" s="6"/>
      <c r="S130" s="6"/>
    </row>
  </sheetData>
  <autoFilter ref="A1:S1"/>
  <conditionalFormatting sqref="M2:M2000">
    <cfRule type="cellIs" dxfId="24" priority="1" operator="equal">
      <formula>"Pass"</formula>
    </cfRule>
    <cfRule type="cellIs" dxfId="25" priority="2" operator="equal">
      <formula>"Fail"</formula>
    </cfRule>
    <cfRule type="cellIs" dxfId="26" priority="3" operator="equal">
      <formula>"Blocked"</formula>
    </cfRule>
    <cfRule type="cellIs" dxfId="27" priority="4" operator="equal">
      <formula>"N/A"</formula>
    </cfRule>
  </conditionalFormatting>
  <dataValidations count="6">
    <dataValidation type="list" allowBlank="1" showErrorMessage="1" errorStyle="stop" errorTitle="Round" error="Choose one of: Round 1 (before the SAO opens a semester), Round 2 (after the SAO activates a semester), Any time" sqref="G10:G130">
      <formula1>"Round 1 (before the SAO opens a semester),Round 2 (after the SAO activates a semester),Any time"</formula1>
    </dataValidation>
    <dataValidation type="list" allowBlank="1" showErrorMessage="1" errorStyle="stop" errorTitle="Round" error="Choose one of: Round 1 (before the SAO opens a semester), Round 2 (after the SAO activates a semester), Any time" sqref="G2:G130">
      <formula1>"Round 1 (before the SAO opens a semester),Round 2 (after the SAO activates a semester),Any time"</formula1>
    </dataValidation>
    <dataValidation type="list" showErrorMessage="1" errorStyle="stop" errorTitle="Status" error="Choose one of: Not run, Pass, Fail, Blocked, N/A" sqref="M10:M130">
      <formula1>"Not run,Pass,Fail,Blocked,N/A"</formula1>
    </dataValidation>
    <dataValidation type="list" showErrorMessage="1" errorStyle="stop" errorTitle="Status" error="Choose one of: Not run, Pass, Fail, Blocked, N/A" sqref="M2:M130">
      <formula1>"Not run,Pass,Fail,Blocked,N/A"</formula1>
    </dataValidation>
    <dataValidation type="list" allowBlank="1" showErrorMessage="1" errorStyle="stop" errorTitle="Severity" error="Choose one of: Critical, Major, Minor, Cosmetic" sqref="N10:N130">
      <formula1>"Critical,Major,Minor,Cosmetic"</formula1>
    </dataValidation>
    <dataValidation type="list" allowBlank="1" showErrorMessage="1" errorStyle="stop" errorTitle="Severity" error="Choose one of: Critical, Major, Minor, Cosmetic" sqref="N2:N130">
      <formula1>"Critical,Major,Minor,Cosmetic"</formula1>
    </dataValidation>
  </dataValidations>
  <pageSetup paperSize="9"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How to use</vt:lpstr>
      <vt:lpstr>Summary</vt:lpstr>
      <vt:lpstr>SAO</vt:lpstr>
      <vt:lpstr>Department Head</vt:lpstr>
      <vt:lpstr>Admin &amp; Adviser</vt:lpstr>
      <vt:lpstr>SBO Officer</vt:lpstr>
      <vt:lpstr>Student</vt:lpstr>
      <vt:lpstr>General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HIUSA QA</dc:creator>
  <dc:title/>
  <dc:subject/>
  <dc:description/>
  <cp:keywords/>
  <cp:category/>
  <cp:lastModifiedBy>Unknown</cp:lastModifiedBy>
  <dcterms:created xsi:type="dcterms:W3CDTF">2026-01-01T00:00:00Z</dcterms:created>
  <dcterms:modified xsi:type="dcterms:W3CDTF">2026-01-01T00:00:00Z</dcterms:modified>
</cp:coreProperties>
</file>